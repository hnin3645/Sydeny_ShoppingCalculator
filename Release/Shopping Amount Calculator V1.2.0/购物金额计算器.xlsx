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联想\Desktop\"/>
    </mc:Choice>
  </mc:AlternateContent>
  <xr:revisionPtr revIDLastSave="0" documentId="13_ncr:1_{E6D119A6-0FB6-4FB7-8E55-389A909A827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ver.qua" sheetId="1" r:id="rId1"/>
    <sheet name="ver.tr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K16" i="1"/>
  <c r="I16" i="1"/>
  <c r="F11" i="2"/>
  <c r="F13" i="2"/>
  <c r="F12" i="2"/>
  <c r="K8" i="2"/>
  <c r="J8" i="2"/>
  <c r="I8" i="2"/>
  <c r="A5" i="2"/>
  <c r="A4" i="2"/>
  <c r="A3" i="2"/>
  <c r="S3" i="2"/>
  <c r="S5" i="2"/>
  <c r="S4" i="2"/>
  <c r="S2" i="2"/>
  <c r="I9" i="2" s="1"/>
  <c r="I14" i="2" s="1"/>
  <c r="S3" i="1"/>
  <c r="S4" i="1"/>
  <c r="S5" i="1"/>
  <c r="K10" i="1" s="1"/>
  <c r="S6" i="1"/>
  <c r="S2" i="1"/>
  <c r="T2" i="1" s="1"/>
  <c r="C9" i="1" l="1"/>
  <c r="K9" i="2"/>
  <c r="K14" i="2" s="1"/>
  <c r="J9" i="2"/>
  <c r="J14" i="2" s="1"/>
  <c r="H9" i="2"/>
  <c r="T2" i="2"/>
  <c r="I10" i="1"/>
  <c r="J10" i="1"/>
  <c r="J16" i="1" s="1"/>
  <c r="L10" i="1"/>
  <c r="H10" i="1"/>
</calcChain>
</file>

<file path=xl/sharedStrings.xml><?xml version="1.0" encoding="utf-8"?>
<sst xmlns="http://schemas.openxmlformats.org/spreadsheetml/2006/main" count="40" uniqueCount="24">
  <si>
    <t>共同部分</t>
    <phoneticPr fontId="2" type="noConversion"/>
  </si>
  <si>
    <t>马斯辰</t>
    <phoneticPr fontId="2" type="noConversion"/>
  </si>
  <si>
    <t>宁航宇</t>
    <phoneticPr fontId="2" type="noConversion"/>
  </si>
  <si>
    <t>王朴琦</t>
    <phoneticPr fontId="2" type="noConversion"/>
  </si>
  <si>
    <t>赵逸飞</t>
    <phoneticPr fontId="2" type="noConversion"/>
  </si>
  <si>
    <t>欠  款  计  算</t>
    <phoneticPr fontId="2" type="noConversion"/>
  </si>
  <si>
    <t>马  斯  辰  欠</t>
    <phoneticPr fontId="2" type="noConversion"/>
  </si>
  <si>
    <t>宁  航  宇  欠</t>
    <phoneticPr fontId="2" type="noConversion"/>
  </si>
  <si>
    <t>王  朴  琦  欠</t>
    <phoneticPr fontId="2" type="noConversion"/>
  </si>
  <si>
    <t>赵  逸  飞  欠</t>
    <phoneticPr fontId="2" type="noConversion"/>
  </si>
  <si>
    <t>最  终  金  额</t>
    <phoneticPr fontId="2" type="noConversion"/>
  </si>
  <si>
    <t>合          计</t>
    <phoneticPr fontId="2" type="noConversion"/>
  </si>
  <si>
    <t>显示分步金额</t>
    <phoneticPr fontId="2" type="noConversion"/>
  </si>
  <si>
    <t>显示最终金额</t>
    <phoneticPr fontId="2" type="noConversion"/>
  </si>
  <si>
    <t>输入金额数量</t>
    <phoneticPr fontId="2" type="noConversion"/>
  </si>
  <si>
    <t>图          例</t>
    <phoneticPr fontId="2" type="noConversion"/>
  </si>
  <si>
    <t xml:space="preserve">   欠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</si>
  <si>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</si>
  <si>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</si>
  <si>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</si>
  <si>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购          物          金          额          计          算          器        Q U A</t>
    <phoneticPr fontId="2" type="noConversion"/>
  </si>
  <si>
    <t>用  户  名  称  输  入</t>
    <phoneticPr fontId="2" type="noConversion"/>
  </si>
  <si>
    <t>ver.tri 共 同 部 分</t>
    <phoneticPr fontId="2" type="noConversion"/>
  </si>
  <si>
    <t>购          物          金          额          计          算          器          T R 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</si>
</sst>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&quot;$&quot;#,##0.00_);[Red]\(&quot;$&quot;#,##0.0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176" fontId="5" fillId="3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/>
    </xf>
    <xf numFmtId="176" fontId="5" fillId="4" borderId="5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5" fillId="3" borderId="7" xfId="1" applyNumberFormat="1" applyFont="1" applyFill="1" applyBorder="1" applyAlignment="1">
      <alignment horizontal="center" vertical="center"/>
    </xf>
    <xf numFmtId="176" fontId="5" fillId="4" borderId="8" xfId="1" applyNumberFormat="1" applyFont="1" applyFill="1" applyBorder="1" applyAlignment="1">
      <alignment horizontal="center" vertical="center"/>
    </xf>
    <xf numFmtId="176" fontId="4" fillId="2" borderId="19" xfId="0" applyNumberFormat="1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176" fontId="5" fillId="4" borderId="3" xfId="1" applyNumberFormat="1" applyFont="1" applyFill="1" applyBorder="1" applyAlignment="1">
      <alignment horizontal="center" vertical="center"/>
    </xf>
    <xf numFmtId="176" fontId="6" fillId="4" borderId="30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76" fontId="5" fillId="6" borderId="3" xfId="1" applyNumberFormat="1" applyFont="1" applyFill="1" applyBorder="1" applyAlignment="1">
      <alignment horizontal="center" vertical="center"/>
    </xf>
    <xf numFmtId="176" fontId="5" fillId="6" borderId="1" xfId="1" applyNumberFormat="1" applyFont="1" applyFill="1" applyBorder="1" applyAlignment="1">
      <alignment horizontal="center" vertical="center"/>
    </xf>
    <xf numFmtId="176" fontId="5" fillId="6" borderId="7" xfId="1" applyNumberFormat="1" applyFont="1" applyFill="1" applyBorder="1" applyAlignment="1">
      <alignment horizontal="center" vertical="center"/>
    </xf>
    <xf numFmtId="176" fontId="5" fillId="7" borderId="5" xfId="1" applyNumberFormat="1" applyFont="1" applyFill="1" applyBorder="1" applyAlignment="1">
      <alignment horizontal="center" vertical="center"/>
    </xf>
    <xf numFmtId="176" fontId="5" fillId="7" borderId="8" xfId="1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4" fillId="5" borderId="7" xfId="0" applyNumberFormat="1" applyFont="1" applyFill="1" applyBorder="1" applyAlignment="1">
      <alignment horizontal="center" vertical="center"/>
    </xf>
    <xf numFmtId="176" fontId="4" fillId="5" borderId="8" xfId="0" applyNumberFormat="1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176" fontId="5" fillId="7" borderId="6" xfId="0" applyNumberFormat="1" applyFont="1" applyFill="1" applyBorder="1" applyAlignment="1">
      <alignment horizontal="center" vertical="center"/>
    </xf>
    <xf numFmtId="176" fontId="5" fillId="7" borderId="7" xfId="0" applyNumberFormat="1" applyFont="1" applyFill="1" applyBorder="1" applyAlignment="1">
      <alignment horizontal="center" vertical="center"/>
    </xf>
    <xf numFmtId="176" fontId="5" fillId="7" borderId="8" xfId="0" applyNumberFormat="1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7" borderId="40" xfId="1" applyNumberFormat="1" applyFont="1" applyFill="1" applyBorder="1" applyAlignment="1">
      <alignment horizontal="center" vertical="center"/>
    </xf>
    <xf numFmtId="176" fontId="6" fillId="7" borderId="24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right" vertical="center"/>
    </xf>
    <xf numFmtId="0" fontId="6" fillId="6" borderId="25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76" fontId="4" fillId="4" borderId="42" xfId="0" applyNumberFormat="1" applyFont="1" applyFill="1" applyBorder="1" applyAlignment="1">
      <alignment horizontal="center" vertical="center"/>
    </xf>
    <xf numFmtId="176" fontId="4" fillId="4" borderId="43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176" fontId="5" fillId="3" borderId="16" xfId="0" applyNumberFormat="1" applyFont="1" applyFill="1" applyBorder="1" applyAlignment="1">
      <alignment horizontal="center" vertical="center"/>
    </xf>
    <xf numFmtId="176" fontId="5" fillId="3" borderId="15" xfId="0" applyNumberFormat="1" applyFont="1" applyFill="1" applyBorder="1" applyAlignment="1">
      <alignment horizontal="center" vertical="center"/>
    </xf>
    <xf numFmtId="176" fontId="5" fillId="3" borderId="12" xfId="0" applyNumberFormat="1" applyFont="1" applyFill="1" applyBorder="1" applyAlignment="1">
      <alignment horizontal="center" vertical="center"/>
    </xf>
    <xf numFmtId="176" fontId="5" fillId="3" borderId="20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7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15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9" xfId="0" applyNumberFormat="1" applyFont="1" applyFill="1" applyBorder="1" applyAlignment="1">
      <alignment horizontal="center" vertical="center"/>
    </xf>
    <xf numFmtId="176" fontId="5" fillId="3" borderId="18" xfId="0" applyNumberFormat="1" applyFont="1" applyFill="1" applyBorder="1" applyAlignment="1">
      <alignment horizontal="center" vertical="center"/>
    </xf>
    <xf numFmtId="176" fontId="5" fillId="6" borderId="34" xfId="0" applyNumberFormat="1" applyFont="1" applyFill="1" applyBorder="1" applyAlignment="1">
      <alignment horizontal="center" vertical="center"/>
    </xf>
    <xf numFmtId="176" fontId="5" fillId="6" borderId="15" xfId="0" applyNumberFormat="1" applyFont="1" applyFill="1" applyBorder="1" applyAlignment="1">
      <alignment horizontal="center" vertical="center"/>
    </xf>
    <xf numFmtId="176" fontId="5" fillId="6" borderId="12" xfId="0" applyNumberFormat="1" applyFont="1" applyFill="1" applyBorder="1" applyAlignment="1">
      <alignment horizontal="center" vertical="center"/>
    </xf>
    <xf numFmtId="176" fontId="5" fillId="6" borderId="20" xfId="0" applyNumberFormat="1" applyFont="1" applyFill="1" applyBorder="1" applyAlignment="1">
      <alignment horizontal="center" vertical="center"/>
    </xf>
    <xf numFmtId="176" fontId="5" fillId="6" borderId="11" xfId="0" applyNumberFormat="1" applyFont="1" applyFill="1" applyBorder="1" applyAlignment="1">
      <alignment horizontal="center" vertical="center"/>
    </xf>
    <xf numFmtId="176" fontId="5" fillId="6" borderId="17" xfId="0" applyNumberFormat="1" applyFont="1" applyFill="1" applyBorder="1" applyAlignment="1">
      <alignment horizontal="center" vertical="center"/>
    </xf>
    <xf numFmtId="176" fontId="5" fillId="6" borderId="5" xfId="0" applyNumberFormat="1" applyFont="1" applyFill="1" applyBorder="1" applyAlignment="1">
      <alignment horizontal="center" vertical="center"/>
    </xf>
    <xf numFmtId="176" fontId="5" fillId="6" borderId="13" xfId="0" applyNumberFormat="1" applyFont="1" applyFill="1" applyBorder="1" applyAlignment="1">
      <alignment horizontal="center" vertical="center"/>
    </xf>
    <xf numFmtId="176" fontId="5" fillId="6" borderId="9" xfId="0" applyNumberFormat="1" applyFont="1" applyFill="1" applyBorder="1" applyAlignment="1">
      <alignment horizontal="center" vertical="center"/>
    </xf>
    <xf numFmtId="176" fontId="5" fillId="6" borderId="41" xfId="0" applyNumberFormat="1" applyFont="1" applyFill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5255</xdr:colOff>
      <xdr:row>0</xdr:row>
      <xdr:rowOff>10511</xdr:rowOff>
    </xdr:from>
    <xdr:to>
      <xdr:col>0</xdr:col>
      <xdr:colOff>362607</xdr:colOff>
      <xdr:row>1</xdr:row>
      <xdr:rowOff>10511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BC59E20-7645-27F1-C04F-4FFEA9C04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10511"/>
          <a:ext cx="357352" cy="357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5255</xdr:colOff>
      <xdr:row>0</xdr:row>
      <xdr:rowOff>10510</xdr:rowOff>
    </xdr:from>
    <xdr:to>
      <xdr:col>0</xdr:col>
      <xdr:colOff>362607</xdr:colOff>
      <xdr:row>1</xdr:row>
      <xdr:rowOff>10510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B38F38-D2A3-4715-BF90-890D1CC12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10510"/>
          <a:ext cx="357352" cy="357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zoomScale="145" zoomScaleNormal="145" workbookViewId="0">
      <selection activeCell="M12" sqref="M12"/>
    </sheetView>
  </sheetViews>
  <sheetFormatPr defaultRowHeight="13.8" x14ac:dyDescent="0.25"/>
  <sheetData>
    <row r="1" spans="1:20" ht="28.2" customHeight="1" thickBot="1" x14ac:dyDescent="0.3">
      <c r="A1" s="51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</row>
    <row r="2" spans="1:20" ht="16.8" customHeight="1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8">
        <f>SUM(B2:R2)</f>
        <v>0</v>
      </c>
      <c r="T2" s="19">
        <f>S2/4</f>
        <v>0</v>
      </c>
    </row>
    <row r="3" spans="1:20" ht="16.8" customHeigh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>
        <f t="shared" ref="S3:S6" si="0">SUM(B3:R3)</f>
        <v>0</v>
      </c>
    </row>
    <row r="4" spans="1:20" ht="16.8" customHeight="1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>
        <f t="shared" si="0"/>
        <v>0</v>
      </c>
    </row>
    <row r="5" spans="1:20" ht="16.8" customHeight="1" x14ac:dyDescent="0.2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>
        <f t="shared" si="0"/>
        <v>0</v>
      </c>
    </row>
    <row r="6" spans="1:20" ht="16.8" customHeight="1" thickBot="1" x14ac:dyDescent="0.3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>
        <f t="shared" si="0"/>
        <v>0</v>
      </c>
    </row>
    <row r="7" spans="1:20" ht="10.8" customHeight="1" thickBot="1" x14ac:dyDescent="0.3"/>
    <row r="8" spans="1:20" ht="16.8" customHeight="1" thickBot="1" x14ac:dyDescent="0.3">
      <c r="C8" s="72" t="s">
        <v>22</v>
      </c>
      <c r="D8" s="73"/>
      <c r="H8" s="54" t="s">
        <v>11</v>
      </c>
      <c r="I8" s="55"/>
      <c r="J8" s="55"/>
      <c r="K8" s="55"/>
      <c r="L8" s="56"/>
      <c r="N8" s="54" t="s">
        <v>15</v>
      </c>
      <c r="O8" s="55"/>
      <c r="P8" s="55"/>
      <c r="Q8" s="55"/>
      <c r="R8" s="55"/>
      <c r="S8" s="56"/>
    </row>
    <row r="9" spans="1:20" ht="16.8" customHeight="1" thickBot="1" x14ac:dyDescent="0.3">
      <c r="C9" s="70">
        <f>ver.tri!S2</f>
        <v>0</v>
      </c>
      <c r="D9" s="71"/>
      <c r="H9" s="15" t="s">
        <v>0</v>
      </c>
      <c r="I9" s="16" t="s">
        <v>1</v>
      </c>
      <c r="J9" s="16" t="s">
        <v>2</v>
      </c>
      <c r="K9" s="16" t="s">
        <v>3</v>
      </c>
      <c r="L9" s="17" t="s">
        <v>4</v>
      </c>
      <c r="N9" s="61" t="s">
        <v>14</v>
      </c>
      <c r="O9" s="62"/>
      <c r="P9" s="63" t="s">
        <v>12</v>
      </c>
      <c r="Q9" s="63"/>
      <c r="R9" s="64" t="s">
        <v>13</v>
      </c>
      <c r="S9" s="65"/>
    </row>
    <row r="10" spans="1:20" ht="16.8" customHeight="1" thickBot="1" x14ac:dyDescent="0.3">
      <c r="H10" s="12">
        <f>S2</f>
        <v>0</v>
      </c>
      <c r="I10" s="13">
        <f>S2/4+S3</f>
        <v>0</v>
      </c>
      <c r="J10" s="13">
        <f>S2/4+S4</f>
        <v>0</v>
      </c>
      <c r="K10" s="13">
        <f>S5+S2/4</f>
        <v>0</v>
      </c>
      <c r="L10" s="14">
        <f>S2/4+S6</f>
        <v>0</v>
      </c>
    </row>
    <row r="11" spans="1:20" ht="23.4" customHeight="1" thickBot="1" x14ac:dyDescent="0.3">
      <c r="F11" s="54" t="s">
        <v>5</v>
      </c>
      <c r="G11" s="57"/>
      <c r="H11" s="58"/>
      <c r="I11" s="59"/>
      <c r="J11" s="59"/>
      <c r="K11" s="59"/>
      <c r="L11" s="60"/>
    </row>
    <row r="12" spans="1:20" ht="16.8" customHeight="1" x14ac:dyDescent="0.25">
      <c r="F12" s="66" t="s">
        <v>6</v>
      </c>
      <c r="G12" s="67"/>
      <c r="H12" s="95"/>
      <c r="I12" s="96"/>
      <c r="J12" s="97"/>
      <c r="K12" s="97"/>
      <c r="L12" s="98"/>
    </row>
    <row r="13" spans="1:20" ht="16.8" customHeight="1" x14ac:dyDescent="0.25">
      <c r="F13" s="68" t="s">
        <v>7</v>
      </c>
      <c r="G13" s="69"/>
      <c r="H13" s="95"/>
      <c r="I13" s="99"/>
      <c r="J13" s="100"/>
      <c r="K13" s="101"/>
      <c r="L13" s="102"/>
    </row>
    <row r="14" spans="1:20" ht="16.8" customHeight="1" x14ac:dyDescent="0.25">
      <c r="F14" s="68" t="s">
        <v>8</v>
      </c>
      <c r="G14" s="69"/>
      <c r="H14" s="95"/>
      <c r="I14" s="99"/>
      <c r="J14" s="101"/>
      <c r="K14" s="100"/>
      <c r="L14" s="102"/>
    </row>
    <row r="15" spans="1:20" ht="16.8" customHeight="1" x14ac:dyDescent="0.25">
      <c r="F15" s="68" t="s">
        <v>9</v>
      </c>
      <c r="G15" s="69"/>
      <c r="H15" s="103"/>
      <c r="I15" s="104"/>
      <c r="J15" s="105"/>
      <c r="K15" s="105"/>
      <c r="L15" s="106"/>
    </row>
    <row r="16" spans="1:20" ht="16.8" customHeight="1" thickBot="1" x14ac:dyDescent="0.3">
      <c r="F16" s="49" t="s">
        <v>10</v>
      </c>
      <c r="G16" s="50"/>
      <c r="H16" s="9"/>
      <c r="I16" s="10">
        <f>I10-(I13+I14+I15)+(J12+K12+L12)</f>
        <v>0</v>
      </c>
      <c r="J16" s="10">
        <f>J10-(J12+J14+J15)+(I13+K13+L13)</f>
        <v>0</v>
      </c>
      <c r="K16" s="10">
        <f>K10-(K13+K12+K15)+(I14+J14+L14)</f>
        <v>0</v>
      </c>
      <c r="L16" s="11">
        <f>L10-(L13+L14+L12)+(I15+J15+K15)</f>
        <v>0</v>
      </c>
    </row>
  </sheetData>
  <sheetProtection algorithmName="SHA-512" hashValue="JafNIAszPfao9KgLC7xWfYpSyinuz6tWbRRhSfh57ngO8F0dc829oTFL02v3oDfvaOx540F7jD9taOoFbvIuPw==" saltValue="xq9OkczB3q5Lomw+IZYzgg==" spinCount="100000" sheet="1" objects="1" scenarios="1"/>
  <protectedRanges>
    <protectedRange sqref="H12:L15" name="欠款输入"/>
    <protectedRange sqref="B2:R6" name="购物金额输入"/>
  </protectedRanges>
  <mergeCells count="16">
    <mergeCell ref="F16:G16"/>
    <mergeCell ref="A1:S1"/>
    <mergeCell ref="H8:L8"/>
    <mergeCell ref="F11:G11"/>
    <mergeCell ref="H11:L11"/>
    <mergeCell ref="N9:O9"/>
    <mergeCell ref="P9:Q9"/>
    <mergeCell ref="R9:S9"/>
    <mergeCell ref="N8:S8"/>
    <mergeCell ref="H12:H15"/>
    <mergeCell ref="F12:G12"/>
    <mergeCell ref="F13:G13"/>
    <mergeCell ref="F14:G14"/>
    <mergeCell ref="F15:G15"/>
    <mergeCell ref="C9:D9"/>
    <mergeCell ref="C8:D8"/>
  </mergeCells>
  <phoneticPr fontId="2" type="noConversion"/>
  <dataValidations count="3">
    <dataValidation type="date" allowBlank="1" showInputMessage="1" showErrorMessage="1" errorTitle="弱智！" error="你他妈是觉得你自己可以欠你自己钱吗？" sqref="I12" xr:uid="{58D7DE34-EDAB-480F-89C7-0D9F82D8D061}">
      <formula1>36161</formula1>
      <formula2>36162</formula2>
    </dataValidation>
    <dataValidation type="date" allowBlank="1" showInputMessage="1" showErrorMessage="1" errorTitle="弱智！" error="你他妈自己觉得你可以在这里输入吗？" sqref="H12:H15 H11:L11" xr:uid="{B4668D64-42B5-43E0-AB84-6278C9DA5EF9}">
      <formula1>36526</formula1>
      <formula2>36527</formula2>
    </dataValidation>
    <dataValidation type="date" allowBlank="1" showInputMessage="1" showErrorMessage="1" errorTitle="弱智！" error="你他妈是觉得你自己可以欠你自己钱吗？" sqref="L15 J13 K14" xr:uid="{5D6AB52C-2E31-4D65-9763-C592B99D64A2}">
      <formula1>36526</formula1>
      <formula2>36527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223F-7849-4A3E-9337-AE41BE57AA24}">
  <dimension ref="A1:T15"/>
  <sheetViews>
    <sheetView zoomScale="145" zoomScaleNormal="145" workbookViewId="0">
      <selection activeCell="J12" sqref="J12"/>
    </sheetView>
  </sheetViews>
  <sheetFormatPr defaultRowHeight="13.8" x14ac:dyDescent="0.25"/>
  <sheetData>
    <row r="1" spans="1:20" ht="28.2" customHeight="1" thickBot="1" x14ac:dyDescent="0.3">
      <c r="A1" s="90" t="s">
        <v>23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2"/>
    </row>
    <row r="2" spans="1:20" ht="16.8" customHeight="1" thickBot="1" x14ac:dyDescent="0.3">
      <c r="A2" s="20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43">
        <f>SUM(B2:R2)</f>
        <v>0</v>
      </c>
      <c r="T2" s="44">
        <f>S2/3</f>
        <v>0</v>
      </c>
    </row>
    <row r="3" spans="1:20" ht="16.8" customHeight="1" x14ac:dyDescent="0.25">
      <c r="A3" s="21" t="str">
        <f>B8</f>
        <v>A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6">
        <f t="shared" ref="S3:S5" si="0">SUM(B3:R3)</f>
        <v>0</v>
      </c>
    </row>
    <row r="4" spans="1:20" ht="16.8" customHeight="1" x14ac:dyDescent="0.25">
      <c r="A4" s="21" t="str">
        <f>C8</f>
        <v>B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6">
        <f t="shared" si="0"/>
        <v>0</v>
      </c>
    </row>
    <row r="5" spans="1:20" ht="16.8" customHeight="1" thickBot="1" x14ac:dyDescent="0.3">
      <c r="A5" s="22" t="str">
        <f>D8</f>
        <v>C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7">
        <f t="shared" si="0"/>
        <v>0</v>
      </c>
    </row>
    <row r="6" spans="1:20" ht="10.8" customHeight="1" thickBot="1" x14ac:dyDescent="0.3"/>
    <row r="7" spans="1:20" ht="16.2" customHeight="1" thickBot="1" x14ac:dyDescent="0.3">
      <c r="B7" s="82" t="s">
        <v>21</v>
      </c>
      <c r="C7" s="83"/>
      <c r="D7" s="84"/>
      <c r="H7" s="79" t="s">
        <v>11</v>
      </c>
      <c r="I7" s="80"/>
      <c r="J7" s="80"/>
      <c r="K7" s="81"/>
      <c r="L7" s="37"/>
      <c r="N7" s="82" t="s">
        <v>15</v>
      </c>
      <c r="O7" s="83"/>
      <c r="P7" s="83"/>
      <c r="Q7" s="83"/>
      <c r="R7" s="83"/>
      <c r="S7" s="84"/>
    </row>
    <row r="8" spans="1:20" ht="16.2" customHeight="1" thickBot="1" x14ac:dyDescent="0.3">
      <c r="B8" s="47" t="s">
        <v>17</v>
      </c>
      <c r="C8" s="45" t="s">
        <v>18</v>
      </c>
      <c r="D8" s="48" t="s">
        <v>19</v>
      </c>
      <c r="H8" s="28" t="s">
        <v>0</v>
      </c>
      <c r="I8" s="29" t="str">
        <f>B8</f>
        <v>A</v>
      </c>
      <c r="J8" s="29" t="str">
        <f>C8</f>
        <v>B</v>
      </c>
      <c r="K8" s="32" t="str">
        <f>D8</f>
        <v>C</v>
      </c>
      <c r="L8" s="38"/>
      <c r="N8" s="85" t="s">
        <v>14</v>
      </c>
      <c r="O8" s="86"/>
      <c r="P8" s="87" t="s">
        <v>12</v>
      </c>
      <c r="Q8" s="87"/>
      <c r="R8" s="88" t="s">
        <v>13</v>
      </c>
      <c r="S8" s="89"/>
    </row>
    <row r="9" spans="1:20" ht="16.2" customHeight="1" thickBot="1" x14ac:dyDescent="0.3">
      <c r="H9" s="33">
        <f>S2</f>
        <v>0</v>
      </c>
      <c r="I9" s="34">
        <f>S2/3+S3</f>
        <v>0</v>
      </c>
      <c r="J9" s="34">
        <f>S2/3+S4</f>
        <v>0</v>
      </c>
      <c r="K9" s="35">
        <f>S5+S2/3</f>
        <v>0</v>
      </c>
      <c r="L9" s="39"/>
    </row>
    <row r="10" spans="1:20" ht="23.4" customHeight="1" x14ac:dyDescent="0.25">
      <c r="F10" s="93" t="s">
        <v>5</v>
      </c>
      <c r="G10" s="94"/>
      <c r="H10" s="76"/>
      <c r="I10" s="77"/>
      <c r="J10" s="77"/>
      <c r="K10" s="78"/>
      <c r="L10" s="40"/>
    </row>
    <row r="11" spans="1:20" ht="16.2" customHeight="1" x14ac:dyDescent="0.25">
      <c r="F11" s="46" t="str">
        <f>B8</f>
        <v>A</v>
      </c>
      <c r="G11" s="36" t="s">
        <v>16</v>
      </c>
      <c r="H11" s="107"/>
      <c r="I11" s="108"/>
      <c r="J11" s="109"/>
      <c r="K11" s="110"/>
      <c r="L11" s="41"/>
    </row>
    <row r="12" spans="1:20" ht="16.2" customHeight="1" x14ac:dyDescent="0.25">
      <c r="F12" s="46" t="str">
        <f>C8</f>
        <v>B</v>
      </c>
      <c r="G12" s="36" t="s">
        <v>16</v>
      </c>
      <c r="H12" s="107"/>
      <c r="I12" s="111"/>
      <c r="J12" s="112"/>
      <c r="K12" s="113"/>
      <c r="L12" s="41"/>
    </row>
    <row r="13" spans="1:20" ht="16.2" customHeight="1" x14ac:dyDescent="0.25">
      <c r="F13" s="46" t="str">
        <f>D8</f>
        <v>C</v>
      </c>
      <c r="G13" s="36" t="s">
        <v>16</v>
      </c>
      <c r="H13" s="107"/>
      <c r="I13" s="114"/>
      <c r="J13" s="115"/>
      <c r="K13" s="116"/>
      <c r="L13" s="41"/>
    </row>
    <row r="14" spans="1:20" ht="16.2" customHeight="1" thickBot="1" x14ac:dyDescent="0.3">
      <c r="F14" s="74" t="s">
        <v>10</v>
      </c>
      <c r="G14" s="75"/>
      <c r="H14" s="30"/>
      <c r="I14" s="30">
        <f>I9-(I12-I13)+(J11+K11)</f>
        <v>0</v>
      </c>
      <c r="J14" s="30">
        <f>J9-(J11+J13)+(I12+K12)</f>
        <v>0</v>
      </c>
      <c r="K14" s="31">
        <f>K9-(K12+K11)+(I13+J13)</f>
        <v>0</v>
      </c>
      <c r="L14" s="42"/>
    </row>
    <row r="15" spans="1:20" ht="16.2" customHeight="1" x14ac:dyDescent="0.25"/>
  </sheetData>
  <sheetProtection algorithmName="SHA-512" hashValue="vU4ivQ8LjJHD5Td+0kYPFd2LsQ93VL6HB+uluO/XghffeRSp/60jOMCRNDm1nOZox09gMmapyTL2Dq85uW4Klg==" saltValue="hF2x5u+266ApjUucpxT9aA==" spinCount="100000" sheet="1" objects="1" scenarios="1"/>
  <protectedRanges>
    <protectedRange sqref="B8:D8" name="用户名称输入"/>
    <protectedRange sqref="H11:K13" name="欠款输入"/>
    <protectedRange sqref="B2:R5" name="购物金额输入"/>
  </protectedRanges>
  <mergeCells count="11">
    <mergeCell ref="A1:S1"/>
    <mergeCell ref="F10:G10"/>
    <mergeCell ref="B7:D7"/>
    <mergeCell ref="F14:G14"/>
    <mergeCell ref="H11:H13"/>
    <mergeCell ref="H10:K10"/>
    <mergeCell ref="H7:K7"/>
    <mergeCell ref="N7:S7"/>
    <mergeCell ref="N8:O8"/>
    <mergeCell ref="P8:Q8"/>
    <mergeCell ref="R8:S8"/>
  </mergeCells>
  <phoneticPr fontId="2" type="noConversion"/>
  <dataValidations count="3">
    <dataValidation type="date" allowBlank="1" showInputMessage="1" showErrorMessage="1" errorTitle="弱智！" error="你他妈是觉得你自己可以欠你自己钱吗？" sqref="J12 K13" xr:uid="{F2EC2959-DAB5-4509-BD83-DF9B056F1162}">
      <formula1>36526</formula1>
      <formula2>36527</formula2>
    </dataValidation>
    <dataValidation type="date" allowBlank="1" showInputMessage="1" showErrorMessage="1" errorTitle="弱智！" error="你他妈自己觉得你可以在这里输入吗？" sqref="H14 H10:H11 L10" xr:uid="{3F71652C-C338-4D1D-B07B-579CB9D1C15B}">
      <formula1>36526</formula1>
      <formula2>36527</formula2>
    </dataValidation>
    <dataValidation type="date" allowBlank="1" showInputMessage="1" showErrorMessage="1" errorTitle="弱智！" error="你他妈是觉得你自己可以欠你自己钱吗？" sqref="I11" xr:uid="{629BEAA6-5672-48D6-BC63-DA0D3AD878FE}">
      <formula1>36161</formula1>
      <formula2>36162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ver.qua</vt:lpstr>
      <vt:lpstr>ver.tri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Zhao</dc:creator>
  <cp:lastModifiedBy>Yifei Zhao</cp:lastModifiedBy>
  <dcterms:created xsi:type="dcterms:W3CDTF">2015-06-05T18:19:34Z</dcterms:created>
  <dcterms:modified xsi:type="dcterms:W3CDTF">2023-04-12T19:58:16Z</dcterms:modified>
</cp:coreProperties>
</file>