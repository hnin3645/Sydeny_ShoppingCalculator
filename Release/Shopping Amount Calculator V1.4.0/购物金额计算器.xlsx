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6298\Desktop\"/>
    </mc:Choice>
  </mc:AlternateContent>
  <xr:revisionPtr revIDLastSave="0" documentId="13_ncr:1_{F6DC33B5-1760-4880-80FF-27F3C7BCEA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er.qua" sheetId="1" r:id="rId1"/>
    <sheet name="ver.tri" sheetId="2" r:id="rId2"/>
    <sheet name="ver.p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S5" i="3"/>
  <c r="S6" i="3"/>
  <c r="S17" i="3"/>
  <c r="B10" i="3"/>
  <c r="D10" i="3" s="1"/>
  <c r="S7" i="3"/>
  <c r="S4" i="3"/>
  <c r="S3" i="3"/>
  <c r="S2" i="3"/>
  <c r="T2" i="3" s="1"/>
  <c r="J15" i="2"/>
  <c r="K15" i="2"/>
  <c r="I15" i="2"/>
  <c r="S14" i="2"/>
  <c r="S16" i="1"/>
  <c r="M11" i="3" l="1"/>
  <c r="M18" i="3" s="1"/>
  <c r="M19" i="3"/>
  <c r="L11" i="3"/>
  <c r="L18" i="3" s="1"/>
  <c r="L19" i="3" s="1"/>
  <c r="K11" i="3"/>
  <c r="K18" i="3" s="1"/>
  <c r="H11" i="3"/>
  <c r="I11" i="3"/>
  <c r="I18" i="3" s="1"/>
  <c r="I19" i="3" s="1"/>
  <c r="J11" i="3"/>
  <c r="J18" i="3" s="1"/>
  <c r="J19" i="3" s="1"/>
  <c r="F11" i="2"/>
  <c r="F13" i="2"/>
  <c r="F12" i="2"/>
  <c r="K8" i="2"/>
  <c r="J8" i="2"/>
  <c r="I8" i="2"/>
  <c r="A5" i="2"/>
  <c r="A4" i="2"/>
  <c r="A3" i="2"/>
  <c r="S3" i="2"/>
  <c r="S5" i="2"/>
  <c r="S4" i="2"/>
  <c r="S2" i="2"/>
  <c r="S3" i="1"/>
  <c r="S4" i="1"/>
  <c r="S5" i="1"/>
  <c r="S6" i="1"/>
  <c r="S2" i="1"/>
  <c r="T2" i="1" l="1"/>
  <c r="B12" i="3"/>
  <c r="D12" i="3" s="1"/>
  <c r="K19" i="3"/>
  <c r="I9" i="2"/>
  <c r="I14" i="2" s="1"/>
  <c r="K10" i="1"/>
  <c r="K16" i="1" s="1"/>
  <c r="K17" i="1" s="1"/>
  <c r="C9" i="1"/>
  <c r="E9" i="1" s="1"/>
  <c r="K9" i="2"/>
  <c r="K14" i="2" s="1"/>
  <c r="J9" i="2"/>
  <c r="J14" i="2" s="1"/>
  <c r="H9" i="2"/>
  <c r="T2" i="2"/>
  <c r="I10" i="1"/>
  <c r="I16" i="1" s="1"/>
  <c r="I17" i="1" s="1"/>
  <c r="J10" i="1"/>
  <c r="J16" i="1" s="1"/>
  <c r="J17" i="1" s="1"/>
  <c r="L10" i="1"/>
  <c r="L16" i="1" s="1"/>
  <c r="L17" i="1" s="1"/>
  <c r="H10" i="1"/>
</calcChain>
</file>

<file path=xl/sharedStrings.xml><?xml version="1.0" encoding="utf-8"?>
<sst xmlns="http://schemas.openxmlformats.org/spreadsheetml/2006/main" count="83" uniqueCount="36">
  <si>
    <t>共同部分</t>
    <phoneticPr fontId="2" type="noConversion"/>
  </si>
  <si>
    <t>马斯辰</t>
    <phoneticPr fontId="2" type="noConversion"/>
  </si>
  <si>
    <t>宁航宇</t>
    <phoneticPr fontId="2" type="noConversion"/>
  </si>
  <si>
    <t>王朴琦</t>
    <phoneticPr fontId="2" type="noConversion"/>
  </si>
  <si>
    <t>赵逸飞</t>
    <phoneticPr fontId="2" type="noConversion"/>
  </si>
  <si>
    <t>欠  款  计  算</t>
    <phoneticPr fontId="2" type="noConversion"/>
  </si>
  <si>
    <t>马  斯  辰  欠</t>
    <phoneticPr fontId="2" type="noConversion"/>
  </si>
  <si>
    <t>宁  航  宇  欠</t>
    <phoneticPr fontId="2" type="noConversion"/>
  </si>
  <si>
    <t>王  朴  琦  欠</t>
    <phoneticPr fontId="2" type="noConversion"/>
  </si>
  <si>
    <t>赵  逸  飞  欠</t>
    <phoneticPr fontId="2" type="noConversion"/>
  </si>
  <si>
    <t>最  终  金  额</t>
    <phoneticPr fontId="2" type="noConversion"/>
  </si>
  <si>
    <t>合          计</t>
    <phoneticPr fontId="2" type="noConversion"/>
  </si>
  <si>
    <t>显示分步金额</t>
    <phoneticPr fontId="2" type="noConversion"/>
  </si>
  <si>
    <t>显示最终金额</t>
    <phoneticPr fontId="2" type="noConversion"/>
  </si>
  <si>
    <t>输入金额数量</t>
    <phoneticPr fontId="2" type="noConversion"/>
  </si>
  <si>
    <t>图          例</t>
    <phoneticPr fontId="2" type="noConversion"/>
  </si>
  <si>
    <t xml:space="preserve">   欠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</si>
  <si>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</si>
  <si>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</si>
  <si>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</si>
  <si>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购          物          金          额          计          算          器        Q U A</t>
    <phoneticPr fontId="2" type="noConversion"/>
  </si>
  <si>
    <t>用  户  名  称  输  入</t>
    <phoneticPr fontId="2" type="noConversion"/>
  </si>
  <si>
    <t>ver.tri 共 同 部 分</t>
    <phoneticPr fontId="2" type="noConversion"/>
  </si>
  <si>
    <t>购          物          金          额          计          算          器          T R I</t>
    <phoneticPr fontId="2" type="noConversion"/>
  </si>
  <si>
    <t>三人每人</t>
    <phoneticPr fontId="2" type="noConversion"/>
  </si>
  <si>
    <t>双  人  计  算  器</t>
    <phoneticPr fontId="2" type="noConversion"/>
  </si>
  <si>
    <t>每人分别</t>
    <phoneticPr fontId="2" type="noConversion"/>
  </si>
  <si>
    <t>关闭时选择不保存</t>
    <phoneticPr fontId="2" type="noConversion"/>
  </si>
  <si>
    <t xml:space="preserve">Yifei Zhao </t>
    <phoneticPr fontId="2" type="noConversion"/>
  </si>
  <si>
    <t>购          物          金          额          计          算          器        P E N</t>
    <phoneticPr fontId="2" type="noConversion"/>
  </si>
  <si>
    <t>徐浩森</t>
    <phoneticPr fontId="2" type="noConversion"/>
  </si>
  <si>
    <t>徐  浩  森  欠</t>
    <phoneticPr fontId="2" type="noConversion"/>
  </si>
  <si>
    <t>购物金额计算器 ver1.4</t>
    <phoneticPr fontId="2" type="noConversion"/>
  </si>
  <si>
    <t>Pobilished 29/02/2024</t>
    <phoneticPr fontId="2" type="noConversion"/>
  </si>
  <si>
    <t>ver.qua 共 同 部 分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</si>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</sst>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6" formatCode="&quot;$&quot;#,##0.00_);[Red]\(&quot;$&quot;#,##0.00\)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i/>
      <sz val="6"/>
      <color rgb="FF7F7F7F"/>
      <name val="等线"/>
      <family val="3"/>
      <charset val="134"/>
      <scheme val="minor"/>
    </font>
    <font>
      <sz val="1"/>
      <color theme="0"/>
      <name val="等线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</borders>
  <cellStyleXfs count="4">
    <xf numFmtId="0" fontId="0" fillId="0" borderId="0"/>
    <xf numFmtId="44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35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176" fontId="5" fillId="3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5" fillId="3" borderId="1" xfId="1" applyNumberFormat="1" applyFont="1" applyFill="1" applyBorder="1" applyAlignment="1">
      <alignment horizontal="center" vertical="center"/>
    </xf>
    <xf numFmtId="176" fontId="5" fillId="4" borderId="5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5" fillId="3" borderId="7" xfId="1" applyNumberFormat="1" applyFont="1" applyFill="1" applyBorder="1" applyAlignment="1">
      <alignment horizontal="center" vertical="center"/>
    </xf>
    <xf numFmtId="176" fontId="5" fillId="4" borderId="8" xfId="1" applyNumberFormat="1" applyFont="1" applyFill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176" fontId="5" fillId="4" borderId="3" xfId="1" applyNumberFormat="1" applyFont="1" applyFill="1" applyBorder="1" applyAlignment="1">
      <alignment horizontal="center" vertical="center"/>
    </xf>
    <xf numFmtId="176" fontId="6" fillId="4" borderId="30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76" fontId="5" fillId="6" borderId="3" xfId="1" applyNumberFormat="1" applyFont="1" applyFill="1" applyBorder="1" applyAlignment="1">
      <alignment horizontal="center" vertical="center"/>
    </xf>
    <xf numFmtId="176" fontId="5" fillId="6" borderId="1" xfId="1" applyNumberFormat="1" applyFont="1" applyFill="1" applyBorder="1" applyAlignment="1">
      <alignment horizontal="center" vertical="center"/>
    </xf>
    <xf numFmtId="176" fontId="5" fillId="6" borderId="7" xfId="1" applyNumberFormat="1" applyFont="1" applyFill="1" applyBorder="1" applyAlignment="1">
      <alignment horizontal="center" vertical="center"/>
    </xf>
    <xf numFmtId="176" fontId="5" fillId="7" borderId="5" xfId="1" applyNumberFormat="1" applyFont="1" applyFill="1" applyBorder="1" applyAlignment="1">
      <alignment horizontal="center" vertical="center"/>
    </xf>
    <xf numFmtId="176" fontId="5" fillId="7" borderId="8" xfId="1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76" fontId="4" fillId="5" borderId="7" xfId="0" applyNumberFormat="1" applyFont="1" applyFill="1" applyBorder="1" applyAlignment="1">
      <alignment horizontal="center" vertical="center"/>
    </xf>
    <xf numFmtId="176" fontId="4" fillId="5" borderId="8" xfId="0" applyNumberFormat="1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176" fontId="5" fillId="7" borderId="6" xfId="0" applyNumberFormat="1" applyFont="1" applyFill="1" applyBorder="1" applyAlignment="1">
      <alignment horizontal="center" vertical="center"/>
    </xf>
    <xf numFmtId="176" fontId="5" fillId="7" borderId="7" xfId="0" applyNumberFormat="1" applyFont="1" applyFill="1" applyBorder="1" applyAlignment="1">
      <alignment horizontal="center" vertical="center"/>
    </xf>
    <xf numFmtId="176" fontId="5" fillId="7" borderId="8" xfId="0" applyNumberFormat="1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7" borderId="40" xfId="1" applyNumberFormat="1" applyFont="1" applyFill="1" applyBorder="1" applyAlignment="1">
      <alignment horizontal="center" vertical="center"/>
    </xf>
    <xf numFmtId="176" fontId="6" fillId="7" borderId="24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right" vertical="center"/>
    </xf>
    <xf numFmtId="0" fontId="6" fillId="6" borderId="25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176" fontId="5" fillId="3" borderId="15" xfId="0" applyNumberFormat="1" applyFont="1" applyFill="1" applyBorder="1" applyAlignment="1">
      <alignment horizontal="center" vertical="center"/>
    </xf>
    <xf numFmtId="176" fontId="5" fillId="3" borderId="12" xfId="0" applyNumberFormat="1" applyFont="1" applyFill="1" applyBorder="1" applyAlignment="1">
      <alignment horizontal="center" vertical="center"/>
    </xf>
    <xf numFmtId="176" fontId="5" fillId="3" borderId="20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7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9" xfId="0" applyNumberFormat="1" applyFont="1" applyFill="1" applyBorder="1" applyAlignment="1">
      <alignment horizontal="center" vertical="center"/>
    </xf>
    <xf numFmtId="176" fontId="5" fillId="3" borderId="18" xfId="0" applyNumberFormat="1" applyFont="1" applyFill="1" applyBorder="1" applyAlignment="1">
      <alignment horizontal="center" vertical="center"/>
    </xf>
    <xf numFmtId="176" fontId="5" fillId="6" borderId="15" xfId="0" applyNumberFormat="1" applyFont="1" applyFill="1" applyBorder="1" applyAlignment="1">
      <alignment horizontal="center" vertical="center"/>
    </xf>
    <xf numFmtId="176" fontId="5" fillId="6" borderId="12" xfId="0" applyNumberFormat="1" applyFont="1" applyFill="1" applyBorder="1" applyAlignment="1">
      <alignment horizontal="center" vertical="center"/>
    </xf>
    <xf numFmtId="176" fontId="5" fillId="6" borderId="20" xfId="0" applyNumberFormat="1" applyFont="1" applyFill="1" applyBorder="1" applyAlignment="1">
      <alignment horizontal="center" vertical="center"/>
    </xf>
    <xf numFmtId="176" fontId="5" fillId="6" borderId="11" xfId="0" applyNumberFormat="1" applyFont="1" applyFill="1" applyBorder="1" applyAlignment="1">
      <alignment horizontal="center" vertical="center"/>
    </xf>
    <xf numFmtId="176" fontId="5" fillId="6" borderId="17" xfId="0" applyNumberFormat="1" applyFont="1" applyFill="1" applyBorder="1" applyAlignment="1">
      <alignment horizontal="center" vertical="center"/>
    </xf>
    <xf numFmtId="176" fontId="5" fillId="6" borderId="5" xfId="0" applyNumberFormat="1" applyFont="1" applyFill="1" applyBorder="1" applyAlignment="1">
      <alignment horizontal="center" vertical="center"/>
    </xf>
    <xf numFmtId="176" fontId="5" fillId="6" borderId="13" xfId="0" applyNumberFormat="1" applyFont="1" applyFill="1" applyBorder="1" applyAlignment="1">
      <alignment horizontal="center" vertical="center"/>
    </xf>
    <xf numFmtId="176" fontId="5" fillId="6" borderId="9" xfId="0" applyNumberFormat="1" applyFont="1" applyFill="1" applyBorder="1" applyAlignment="1">
      <alignment horizontal="center" vertical="center"/>
    </xf>
    <xf numFmtId="176" fontId="5" fillId="6" borderId="41" xfId="0" applyNumberFormat="1" applyFont="1" applyFill="1" applyBorder="1" applyAlignment="1">
      <alignment horizontal="center" vertical="center"/>
    </xf>
    <xf numFmtId="176" fontId="4" fillId="4" borderId="4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176" fontId="0" fillId="3" borderId="31" xfId="0" applyNumberFormat="1" applyFill="1" applyBorder="1" applyAlignment="1">
      <alignment horizontal="center" vertical="center"/>
    </xf>
    <xf numFmtId="176" fontId="0" fillId="3" borderId="12" xfId="0" applyNumberFormat="1" applyFill="1" applyBorder="1" applyAlignment="1">
      <alignment horizontal="center" vertical="center"/>
    </xf>
    <xf numFmtId="176" fontId="0" fillId="3" borderId="20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6" borderId="31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20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176" fontId="0" fillId="6" borderId="6" xfId="0" applyNumberFormat="1" applyFill="1" applyBorder="1" applyAlignment="1">
      <alignment horizontal="center" vertical="center"/>
    </xf>
    <xf numFmtId="176" fontId="0" fillId="6" borderId="7" xfId="0" applyNumberFormat="1" applyFill="1" applyBorder="1" applyAlignment="1">
      <alignment horizontal="center" vertical="center"/>
    </xf>
    <xf numFmtId="176" fontId="0" fillId="6" borderId="8" xfId="0" applyNumberForma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176" fontId="0" fillId="4" borderId="24" xfId="1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176" fontId="0" fillId="7" borderId="24" xfId="1" applyNumberFormat="1" applyFont="1" applyFill="1" applyBorder="1" applyAlignment="1">
      <alignment horizontal="center" vertical="center"/>
    </xf>
    <xf numFmtId="176" fontId="0" fillId="0" borderId="0" xfId="0" applyNumberFormat="1"/>
    <xf numFmtId="176" fontId="11" fillId="0" borderId="0" xfId="0" applyNumberFormat="1" applyFont="1"/>
    <xf numFmtId="0" fontId="10" fillId="8" borderId="0" xfId="3" applyFont="1" applyFill="1" applyAlignment="1">
      <alignment horizontal="right"/>
    </xf>
    <xf numFmtId="0" fontId="10" fillId="8" borderId="0" xfId="3" applyFont="1" applyFill="1" applyAlignment="1">
      <alignment horizontal="right" vertical="center"/>
    </xf>
    <xf numFmtId="0" fontId="10" fillId="8" borderId="0" xfId="3" applyFont="1" applyFill="1" applyAlignment="1">
      <alignment horizontal="right" vertical="top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28" xfId="2" applyFont="1" applyFill="1" applyBorder="1" applyAlignment="1">
      <alignment horizontal="center" vertical="center"/>
    </xf>
    <xf numFmtId="0" fontId="3" fillId="2" borderId="30" xfId="2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176" fontId="5" fillId="3" borderId="16" xfId="0" applyNumberFormat="1" applyFont="1" applyFill="1" applyBorder="1" applyAlignment="1">
      <alignment horizontal="center" vertical="center"/>
    </xf>
    <xf numFmtId="176" fontId="5" fillId="3" borderId="15" xfId="0" applyNumberFormat="1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176" fontId="5" fillId="6" borderId="34" xfId="0" applyNumberFormat="1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9" fillId="5" borderId="28" xfId="2" applyFont="1" applyFill="1" applyBorder="1" applyAlignment="1">
      <alignment horizontal="center" vertical="center"/>
    </xf>
    <xf numFmtId="0" fontId="9" fillId="5" borderId="29" xfId="2" applyFont="1" applyFill="1" applyBorder="1" applyAlignment="1">
      <alignment horizontal="center" vertical="center"/>
    </xf>
    <xf numFmtId="0" fontId="9" fillId="5" borderId="30" xfId="2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176" fontId="5" fillId="10" borderId="3" xfId="1" applyNumberFormat="1" applyFont="1" applyFill="1" applyBorder="1" applyAlignment="1">
      <alignment horizontal="center" vertical="center"/>
    </xf>
    <xf numFmtId="176" fontId="5" fillId="10" borderId="5" xfId="1" applyNumberFormat="1" applyFont="1" applyFill="1" applyBorder="1" applyAlignment="1">
      <alignment horizontal="center" vertical="center"/>
    </xf>
    <xf numFmtId="176" fontId="5" fillId="10" borderId="8" xfId="1" applyNumberFormat="1" applyFont="1" applyFill="1" applyBorder="1" applyAlignment="1">
      <alignment horizontal="center" vertical="center"/>
    </xf>
    <xf numFmtId="176" fontId="6" fillId="10" borderId="30" xfId="0" applyNumberFormat="1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10" borderId="3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47" xfId="0" applyFont="1" applyFill="1" applyBorder="1" applyAlignment="1">
      <alignment horizontal="center" vertical="center"/>
    </xf>
    <xf numFmtId="0" fontId="5" fillId="10" borderId="49" xfId="0" applyFont="1" applyFill="1" applyBorder="1" applyAlignment="1">
      <alignment horizontal="center" vertical="center"/>
    </xf>
    <xf numFmtId="176" fontId="4" fillId="10" borderId="42" xfId="0" applyNumberFormat="1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3" fillId="9" borderId="28" xfId="2" applyFont="1" applyFill="1" applyBorder="1" applyAlignment="1">
      <alignment horizontal="center" vertical="center"/>
    </xf>
    <xf numFmtId="0" fontId="3" fillId="9" borderId="30" xfId="2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50" xfId="0" applyFont="1" applyFill="1" applyBorder="1" applyAlignment="1">
      <alignment horizontal="center" vertical="center"/>
    </xf>
    <xf numFmtId="176" fontId="4" fillId="9" borderId="27" xfId="0" applyNumberFormat="1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5" fillId="9" borderId="57" xfId="0" applyFont="1" applyFill="1" applyBorder="1" applyAlignment="1">
      <alignment horizontal="center" vertical="center"/>
    </xf>
    <xf numFmtId="0" fontId="5" fillId="9" borderId="58" xfId="0" applyFont="1" applyFill="1" applyBorder="1" applyAlignment="1">
      <alignment horizontal="center" vertical="center"/>
    </xf>
    <xf numFmtId="0" fontId="5" fillId="9" borderId="59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53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176" fontId="5" fillId="10" borderId="47" xfId="0" applyNumberFormat="1" applyFont="1" applyFill="1" applyBorder="1" applyAlignment="1">
      <alignment horizontal="center" vertical="center"/>
    </xf>
    <xf numFmtId="176" fontId="5" fillId="10" borderId="9" xfId="0" applyNumberFormat="1" applyFont="1" applyFill="1" applyBorder="1" applyAlignment="1">
      <alignment horizontal="center" vertical="center"/>
    </xf>
    <xf numFmtId="176" fontId="5" fillId="10" borderId="48" xfId="0" applyNumberFormat="1" applyFont="1" applyFill="1" applyBorder="1" applyAlignment="1">
      <alignment horizontal="center" vertical="center"/>
    </xf>
    <xf numFmtId="0" fontId="5" fillId="11" borderId="51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176" fontId="5" fillId="11" borderId="3" xfId="1" applyNumberFormat="1" applyFont="1" applyFill="1" applyBorder="1" applyAlignment="1">
      <alignment horizontal="center" vertical="center"/>
    </xf>
    <xf numFmtId="176" fontId="5" fillId="11" borderId="1" xfId="1" applyNumberFormat="1" applyFont="1" applyFill="1" applyBorder="1" applyAlignment="1">
      <alignment horizontal="center" vertical="center"/>
    </xf>
    <xf numFmtId="176" fontId="5" fillId="11" borderId="9" xfId="1" applyNumberFormat="1" applyFont="1" applyFill="1" applyBorder="1" applyAlignment="1">
      <alignment horizontal="center" vertical="center"/>
    </xf>
    <xf numFmtId="176" fontId="5" fillId="11" borderId="7" xfId="1" applyNumberFormat="1" applyFont="1" applyFill="1" applyBorder="1" applyAlignment="1">
      <alignment horizontal="center" vertical="center"/>
    </xf>
    <xf numFmtId="176" fontId="5" fillId="11" borderId="56" xfId="0" applyNumberFormat="1" applyFont="1" applyFill="1" applyBorder="1" applyAlignment="1">
      <alignment horizontal="center" vertical="center"/>
    </xf>
    <xf numFmtId="176" fontId="5" fillId="11" borderId="15" xfId="0" applyNumberFormat="1" applyFont="1" applyFill="1" applyBorder="1" applyAlignment="1">
      <alignment horizontal="center" vertical="center"/>
    </xf>
    <xf numFmtId="176" fontId="5" fillId="11" borderId="12" xfId="0" applyNumberFormat="1" applyFont="1" applyFill="1" applyBorder="1" applyAlignment="1">
      <alignment horizontal="center" vertical="center"/>
    </xf>
    <xf numFmtId="176" fontId="0" fillId="11" borderId="20" xfId="1" applyNumberFormat="1" applyFont="1" applyFill="1" applyBorder="1" applyAlignment="1">
      <alignment horizontal="center" vertical="center"/>
    </xf>
    <xf numFmtId="176" fontId="5" fillId="11" borderId="54" xfId="0" applyNumberFormat="1" applyFont="1" applyFill="1" applyBorder="1" applyAlignment="1">
      <alignment horizontal="center" vertical="center"/>
    </xf>
    <xf numFmtId="176" fontId="5" fillId="11" borderId="1" xfId="0" applyNumberFormat="1" applyFont="1" applyFill="1" applyBorder="1" applyAlignment="1">
      <alignment horizontal="center" vertical="center"/>
    </xf>
    <xf numFmtId="176" fontId="5" fillId="11" borderId="17" xfId="0" applyNumberFormat="1" applyFont="1" applyFill="1" applyBorder="1" applyAlignment="1">
      <alignment horizontal="center" vertical="center"/>
    </xf>
    <xf numFmtId="176" fontId="0" fillId="11" borderId="5" xfId="1" applyNumberFormat="1" applyFont="1" applyFill="1" applyBorder="1" applyAlignment="1">
      <alignment horizontal="center" vertical="center"/>
    </xf>
    <xf numFmtId="176" fontId="5" fillId="11" borderId="55" xfId="0" applyNumberFormat="1" applyFont="1" applyFill="1" applyBorder="1" applyAlignment="1">
      <alignment horizontal="center" vertical="center"/>
    </xf>
    <xf numFmtId="0" fontId="0" fillId="11" borderId="9" xfId="0" applyFill="1" applyBorder="1"/>
    <xf numFmtId="176" fontId="0" fillId="11" borderId="52" xfId="0" applyNumberFormat="1" applyFill="1" applyBorder="1" applyAlignment="1">
      <alignment horizontal="center" vertical="center"/>
    </xf>
    <xf numFmtId="176" fontId="0" fillId="11" borderId="12" xfId="0" applyNumberFormat="1" applyFill="1" applyBorder="1" applyAlignment="1">
      <alignment horizontal="center" vertical="center"/>
    </xf>
    <xf numFmtId="176" fontId="0" fillId="11" borderId="20" xfId="0" applyNumberFormat="1" applyFill="1" applyBorder="1" applyAlignment="1">
      <alignment horizontal="center" vertical="center"/>
    </xf>
    <xf numFmtId="176" fontId="0" fillId="11" borderId="11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1" borderId="5" xfId="0" applyNumberFormat="1" applyFill="1" applyBorder="1" applyAlignment="1">
      <alignment horizontal="center" vertical="center"/>
    </xf>
    <xf numFmtId="176" fontId="0" fillId="11" borderId="46" xfId="0" applyNumberFormat="1" applyFill="1" applyBorder="1" applyAlignment="1">
      <alignment horizontal="center" vertical="center"/>
    </xf>
    <xf numFmtId="176" fontId="0" fillId="11" borderId="7" xfId="0" applyNumberFormat="1" applyFill="1" applyBorder="1" applyAlignment="1">
      <alignment horizontal="center" vertical="center"/>
    </xf>
    <xf numFmtId="176" fontId="0" fillId="11" borderId="8" xfId="0" applyNumberForma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176" fontId="0" fillId="9" borderId="24" xfId="1" applyNumberFormat="1" applyFont="1" applyFill="1" applyBorder="1" applyAlignment="1">
      <alignment horizontal="center" vertical="center"/>
    </xf>
    <xf numFmtId="176" fontId="4" fillId="10" borderId="28" xfId="0" applyNumberFormat="1" applyFont="1" applyFill="1" applyBorder="1" applyAlignment="1">
      <alignment horizontal="center" vertical="center"/>
    </xf>
    <xf numFmtId="176" fontId="4" fillId="10" borderId="3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0" fillId="0" borderId="0" xfId="1" applyNumberFormat="1" applyFont="1" applyFill="1" applyBorder="1" applyAlignment="1">
      <alignment horizontal="center" vertical="center"/>
    </xf>
    <xf numFmtId="0" fontId="0" fillId="0" borderId="0" xfId="0" applyFill="1"/>
    <xf numFmtId="0" fontId="10" fillId="0" borderId="0" xfId="3" applyFont="1" applyFill="1" applyAlignment="1"/>
    <xf numFmtId="0" fontId="10" fillId="0" borderId="0" xfId="3" applyFont="1" applyFill="1" applyAlignment="1">
      <alignment vertical="center"/>
    </xf>
    <xf numFmtId="0" fontId="10" fillId="0" borderId="0" xfId="3" applyFont="1" applyFill="1" applyAlignment="1">
      <alignment vertical="top"/>
    </xf>
    <xf numFmtId="0" fontId="3" fillId="9" borderId="29" xfId="2" applyFont="1" applyFill="1" applyBorder="1" applyAlignment="1">
      <alignment horizontal="center" vertical="center"/>
    </xf>
    <xf numFmtId="176" fontId="4" fillId="4" borderId="28" xfId="0" applyNumberFormat="1" applyFont="1" applyFill="1" applyBorder="1" applyAlignment="1">
      <alignment horizontal="center" vertical="center"/>
    </xf>
    <xf numFmtId="176" fontId="4" fillId="4" borderId="30" xfId="0" applyNumberFormat="1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</cellXfs>
  <cellStyles count="4">
    <cellStyle name="常规" xfId="0" builtinId="0"/>
    <cellStyle name="解释性文本" xfId="3" builtinId="53"/>
    <cellStyle name="警告文本" xfId="2" builtinId="11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5255</xdr:colOff>
      <xdr:row>0</xdr:row>
      <xdr:rowOff>10511</xdr:rowOff>
    </xdr:from>
    <xdr:to>
      <xdr:col>0</xdr:col>
      <xdr:colOff>362607</xdr:colOff>
      <xdr:row>1</xdr:row>
      <xdr:rowOff>10511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BC59E20-7645-27F1-C04F-4FFEA9C04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" y="10511"/>
          <a:ext cx="357352" cy="357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5255</xdr:colOff>
      <xdr:row>0</xdr:row>
      <xdr:rowOff>10510</xdr:rowOff>
    </xdr:from>
    <xdr:to>
      <xdr:col>0</xdr:col>
      <xdr:colOff>362607</xdr:colOff>
      <xdr:row>1</xdr:row>
      <xdr:rowOff>10510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B38F38-D2A3-4715-BF90-890D1CC12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" y="10510"/>
          <a:ext cx="357352" cy="3573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357352</xdr:colOff>
      <xdr:row>1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83BB06C-9C81-4F23-94E7-1BCB3E24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7352" cy="357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0"/>
  <sheetViews>
    <sheetView tabSelected="1" zoomScale="145" zoomScaleNormal="145" workbookViewId="0">
      <selection activeCell="C13" sqref="C13:D13"/>
    </sheetView>
  </sheetViews>
  <sheetFormatPr defaultRowHeight="13.8" x14ac:dyDescent="0.25"/>
  <sheetData>
    <row r="1" spans="1:20" ht="28.2" customHeight="1" thickBot="1" x14ac:dyDescent="0.3">
      <c r="A1" s="106" t="s">
        <v>20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</row>
    <row r="2" spans="1:20" ht="16.8" customHeight="1" thickBo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>
        <f>SUM(B2:R2)</f>
        <v>0</v>
      </c>
      <c r="T2" s="18">
        <f>S2/4</f>
        <v>0</v>
      </c>
    </row>
    <row r="3" spans="1:20" ht="16.8" customHeight="1" x14ac:dyDescent="0.25">
      <c r="A3" s="3" t="str">
        <f>C14</f>
        <v>A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>
        <f t="shared" ref="S3:S6" si="0">SUM(B3:R3)</f>
        <v>0</v>
      </c>
    </row>
    <row r="4" spans="1:20" ht="16.8" customHeight="1" x14ac:dyDescent="0.25">
      <c r="A4" s="3" t="str">
        <f>D14</f>
        <v>B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>
        <f t="shared" si="0"/>
        <v>0</v>
      </c>
    </row>
    <row r="5" spans="1:20" ht="16.8" customHeight="1" x14ac:dyDescent="0.25">
      <c r="A5" s="3" t="str">
        <f>C15</f>
        <v>C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>
        <f t="shared" si="0"/>
        <v>0</v>
      </c>
    </row>
    <row r="6" spans="1:20" ht="16.8" customHeight="1" thickBot="1" x14ac:dyDescent="0.3">
      <c r="A6" s="6" t="str">
        <f>D15</f>
        <v>D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>
        <f t="shared" si="0"/>
        <v>0</v>
      </c>
    </row>
    <row r="7" spans="1:20" ht="10.8" customHeight="1" thickBot="1" x14ac:dyDescent="0.3"/>
    <row r="8" spans="1:20" ht="16.8" customHeight="1" thickBot="1" x14ac:dyDescent="0.3">
      <c r="C8" s="124" t="s">
        <v>22</v>
      </c>
      <c r="D8" s="125"/>
      <c r="E8" s="68" t="s">
        <v>24</v>
      </c>
      <c r="H8" s="101" t="s">
        <v>11</v>
      </c>
      <c r="I8" s="102"/>
      <c r="J8" s="102"/>
      <c r="K8" s="102"/>
      <c r="L8" s="103"/>
      <c r="N8" s="101" t="s">
        <v>15</v>
      </c>
      <c r="O8" s="102"/>
      <c r="P8" s="102"/>
      <c r="Q8" s="102"/>
      <c r="R8" s="102"/>
      <c r="S8" s="103"/>
    </row>
    <row r="9" spans="1:20" ht="16.8" customHeight="1" thickBot="1" x14ac:dyDescent="0.3">
      <c r="C9" s="231">
        <f>ver.tri!S2</f>
        <v>0</v>
      </c>
      <c r="D9" s="232"/>
      <c r="E9" s="67">
        <f>C9/3</f>
        <v>0</v>
      </c>
      <c r="H9" s="14" t="s">
        <v>0</v>
      </c>
      <c r="I9" s="15" t="s">
        <v>1</v>
      </c>
      <c r="J9" s="15" t="s">
        <v>2</v>
      </c>
      <c r="K9" s="15" t="s">
        <v>3</v>
      </c>
      <c r="L9" s="16" t="s">
        <v>4</v>
      </c>
      <c r="N9" s="113" t="s">
        <v>14</v>
      </c>
      <c r="O9" s="114"/>
      <c r="P9" s="115" t="s">
        <v>12</v>
      </c>
      <c r="Q9" s="115"/>
      <c r="R9" s="116" t="s">
        <v>13</v>
      </c>
      <c r="S9" s="117"/>
    </row>
    <row r="10" spans="1:20" ht="16.8" customHeight="1" thickBot="1" x14ac:dyDescent="0.3">
      <c r="H10" s="11">
        <f>S2</f>
        <v>0</v>
      </c>
      <c r="I10" s="12">
        <f>S2/4+S3</f>
        <v>0</v>
      </c>
      <c r="J10" s="12">
        <f>S2/4+S4</f>
        <v>0</v>
      </c>
      <c r="K10" s="12">
        <f>S5+S2/4</f>
        <v>0</v>
      </c>
      <c r="L10" s="13">
        <f>S2/4+S6</f>
        <v>0</v>
      </c>
    </row>
    <row r="11" spans="1:20" ht="23.4" customHeight="1" thickBot="1" x14ac:dyDescent="0.3">
      <c r="C11" s="104" t="s">
        <v>27</v>
      </c>
      <c r="D11" s="105"/>
      <c r="F11" s="101" t="s">
        <v>5</v>
      </c>
      <c r="G11" s="109"/>
      <c r="H11" s="110"/>
      <c r="I11" s="111"/>
      <c r="J11" s="111"/>
      <c r="K11" s="111"/>
      <c r="L11" s="112"/>
      <c r="N11" s="101" t="s">
        <v>25</v>
      </c>
      <c r="O11" s="102"/>
      <c r="P11" s="102"/>
      <c r="Q11" s="102"/>
      <c r="R11" s="102"/>
      <c r="S11" s="103"/>
    </row>
    <row r="12" spans="1:20" ht="16.8" customHeight="1" thickBot="1" x14ac:dyDescent="0.3">
      <c r="F12" s="120" t="s">
        <v>6</v>
      </c>
      <c r="G12" s="121"/>
      <c r="H12" s="118"/>
      <c r="I12" s="48"/>
      <c r="J12" s="49"/>
      <c r="K12" s="49"/>
      <c r="L12" s="50"/>
      <c r="N12" s="69"/>
      <c r="O12" s="70"/>
      <c r="P12" s="70"/>
      <c r="Q12" s="70"/>
      <c r="R12" s="70"/>
      <c r="S12" s="71"/>
    </row>
    <row r="13" spans="1:20" ht="16.8" customHeight="1" thickBot="1" x14ac:dyDescent="0.3">
      <c r="C13" s="124" t="s">
        <v>21</v>
      </c>
      <c r="D13" s="125"/>
      <c r="F13" s="122" t="s">
        <v>7</v>
      </c>
      <c r="G13" s="123"/>
      <c r="H13" s="118"/>
      <c r="I13" s="51"/>
      <c r="J13" s="52"/>
      <c r="K13" s="53"/>
      <c r="L13" s="54"/>
      <c r="N13" s="72"/>
      <c r="O13" s="73"/>
      <c r="P13" s="73"/>
      <c r="Q13" s="73"/>
      <c r="R13" s="73"/>
      <c r="S13" s="74"/>
    </row>
    <row r="14" spans="1:20" ht="16.8" customHeight="1" thickBot="1" x14ac:dyDescent="0.3">
      <c r="C14" s="233" t="s">
        <v>17</v>
      </c>
      <c r="D14" s="234" t="s">
        <v>18</v>
      </c>
      <c r="F14" s="122" t="s">
        <v>8</v>
      </c>
      <c r="G14" s="123"/>
      <c r="H14" s="118"/>
      <c r="I14" s="51"/>
      <c r="J14" s="53"/>
      <c r="K14" s="52"/>
      <c r="L14" s="54"/>
      <c r="N14" s="72"/>
      <c r="O14" s="73"/>
      <c r="P14" s="73"/>
      <c r="Q14" s="73"/>
      <c r="R14" s="73"/>
      <c r="S14" s="74"/>
    </row>
    <row r="15" spans="1:20" ht="16.8" customHeight="1" thickBot="1" x14ac:dyDescent="0.3">
      <c r="C15" s="233" t="s">
        <v>19</v>
      </c>
      <c r="D15" s="234" t="s">
        <v>35</v>
      </c>
      <c r="F15" s="122" t="s">
        <v>9</v>
      </c>
      <c r="G15" s="123"/>
      <c r="H15" s="119"/>
      <c r="I15" s="55"/>
      <c r="J15" s="56"/>
      <c r="K15" s="56"/>
      <c r="L15" s="57"/>
      <c r="N15" s="75"/>
      <c r="O15" s="76"/>
      <c r="P15" s="76"/>
      <c r="Q15" s="76"/>
      <c r="R15" s="76"/>
      <c r="S15" s="77"/>
    </row>
    <row r="16" spans="1:20" ht="16.8" customHeight="1" thickBot="1" x14ac:dyDescent="0.3">
      <c r="F16" s="98" t="s">
        <v>10</v>
      </c>
      <c r="G16" s="99"/>
      <c r="H16" s="100"/>
      <c r="I16" s="9">
        <f>I10-(I13+I14+I15)+(J12+K12+L12)</f>
        <v>0</v>
      </c>
      <c r="J16" s="9">
        <f>J10-(J12+J14+J15)+(I13+K13+L13)</f>
        <v>0</v>
      </c>
      <c r="K16" s="9">
        <f>K10-(K13+K12+K15)+(I14+J14+L14)</f>
        <v>0</v>
      </c>
      <c r="L16" s="10">
        <f>L10-(L13+L14+L12)+(I15+J15+K15)</f>
        <v>0</v>
      </c>
      <c r="P16" s="78"/>
      <c r="Q16" s="78"/>
      <c r="R16" s="89" t="s">
        <v>26</v>
      </c>
      <c r="S16" s="90">
        <f>SUM(N12:S15)/2</f>
        <v>0</v>
      </c>
    </row>
    <row r="17" spans="9:19" ht="3.6" customHeight="1" x14ac:dyDescent="0.25">
      <c r="I17" s="94">
        <f>I16</f>
        <v>0</v>
      </c>
      <c r="J17" s="94">
        <f t="shared" ref="J17:L17" si="1">J16</f>
        <v>0</v>
      </c>
      <c r="K17" s="94">
        <f t="shared" si="1"/>
        <v>0</v>
      </c>
      <c r="L17" s="94">
        <f t="shared" si="1"/>
        <v>0</v>
      </c>
    </row>
    <row r="18" spans="9:19" x14ac:dyDescent="0.25">
      <c r="I18" s="93"/>
      <c r="R18" s="95" t="s">
        <v>32</v>
      </c>
      <c r="S18" s="95"/>
    </row>
    <row r="19" spans="9:19" x14ac:dyDescent="0.25">
      <c r="R19" s="96" t="s">
        <v>33</v>
      </c>
      <c r="S19" s="96"/>
    </row>
    <row r="20" spans="9:19" x14ac:dyDescent="0.25">
      <c r="R20" s="97" t="s">
        <v>28</v>
      </c>
      <c r="S20" s="97"/>
    </row>
  </sheetData>
  <sheetProtection algorithmName="SHA-512" hashValue="9J4RO9Lueo7419DA/WTI5WPG84zb4b9x8GsSVXdF6msK12ctw1zyMjfdil9O68cebEdJ9StsgbwSXYE0datWgQ==" saltValue="gv6Hedu/vMjruyqn0qXwaw==" spinCount="100000" sheet="1" objects="1" scenarios="1"/>
  <protectedRanges>
    <protectedRange sqref="N12:S15" name="双人计算区域"/>
    <protectedRange sqref="B2:R6" name="购物金额输入"/>
    <protectedRange sqref="H12:L15" name="欠款输入"/>
    <protectedRange sqref="C14:D15" name="用户名称输入"/>
  </protectedRanges>
  <mergeCells count="22">
    <mergeCell ref="C13:D13"/>
    <mergeCell ref="C11:D11"/>
    <mergeCell ref="A1:S1"/>
    <mergeCell ref="H8:L8"/>
    <mergeCell ref="F11:G11"/>
    <mergeCell ref="H11:L11"/>
    <mergeCell ref="N9:O9"/>
    <mergeCell ref="P9:Q9"/>
    <mergeCell ref="R9:S9"/>
    <mergeCell ref="N8:S8"/>
    <mergeCell ref="C9:D9"/>
    <mergeCell ref="C8:D8"/>
    <mergeCell ref="R18:S18"/>
    <mergeCell ref="R19:S19"/>
    <mergeCell ref="R20:S20"/>
    <mergeCell ref="F16:H16"/>
    <mergeCell ref="N11:S11"/>
    <mergeCell ref="H12:H15"/>
    <mergeCell ref="F12:G12"/>
    <mergeCell ref="F13:G13"/>
    <mergeCell ref="F14:G14"/>
    <mergeCell ref="F15:G15"/>
  </mergeCells>
  <phoneticPr fontId="2" type="noConversion"/>
  <conditionalFormatting sqref="I17:L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date" allowBlank="1" showInputMessage="1" showErrorMessage="1" errorTitle="弱智！" error="你他妈是觉得你自己可以欠你自己钱吗？" sqref="I12" xr:uid="{58D7DE34-EDAB-480F-89C7-0D9F82D8D061}">
      <formula1>36161</formula1>
      <formula2>36162</formula2>
    </dataValidation>
    <dataValidation type="date" allowBlank="1" showInputMessage="1" showErrorMessage="1" errorTitle="弱智！" error="你他妈自己觉得你可以在这里输入吗？" sqref="H12:H15 H11:L11" xr:uid="{B4668D64-42B5-43E0-AB84-6278C9DA5EF9}">
      <formula1>36526</formula1>
      <formula2>36527</formula2>
    </dataValidation>
    <dataValidation type="date" allowBlank="1" showInputMessage="1" showErrorMessage="1" errorTitle="弱智！" error="你他妈是觉得你自己可以欠你自己钱吗？" sqref="L15 J13 K14" xr:uid="{5D6AB52C-2E31-4D65-9763-C592B99D64A2}">
      <formula1>36526</formula1>
      <formula2>36527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223F-7849-4A3E-9337-AE41BE57AA24}">
  <sheetPr codeName="Sheet2"/>
  <dimension ref="A1:T15"/>
  <sheetViews>
    <sheetView zoomScale="145" zoomScaleNormal="145" workbookViewId="0">
      <selection activeCell="C14" sqref="C14"/>
    </sheetView>
  </sheetViews>
  <sheetFormatPr defaultRowHeight="13.8" x14ac:dyDescent="0.25"/>
  <sheetData>
    <row r="1" spans="1:20" ht="28.2" customHeight="1" thickBot="1" x14ac:dyDescent="0.3">
      <c r="A1" s="126" t="s">
        <v>23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</row>
    <row r="2" spans="1:20" ht="16.8" customHeight="1" thickBot="1" x14ac:dyDescent="0.3">
      <c r="A2" s="19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42">
        <f>SUM(B2:R2)</f>
        <v>0</v>
      </c>
      <c r="T2" s="43">
        <f>S2/3</f>
        <v>0</v>
      </c>
    </row>
    <row r="3" spans="1:20" ht="16.8" customHeight="1" x14ac:dyDescent="0.25">
      <c r="A3" s="20" t="str">
        <f>B8</f>
        <v>A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5">
        <f t="shared" ref="S3:S5" si="0">SUM(B3:R3)</f>
        <v>0</v>
      </c>
    </row>
    <row r="4" spans="1:20" ht="16.8" customHeight="1" x14ac:dyDescent="0.25">
      <c r="A4" s="20" t="str">
        <f>C8</f>
        <v>B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5">
        <f t="shared" si="0"/>
        <v>0</v>
      </c>
    </row>
    <row r="5" spans="1:20" ht="16.8" customHeight="1" thickBot="1" x14ac:dyDescent="0.3">
      <c r="A5" s="21" t="str">
        <f>D8</f>
        <v>C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6">
        <f t="shared" si="0"/>
        <v>0</v>
      </c>
    </row>
    <row r="6" spans="1:20" ht="10.8" customHeight="1" thickBot="1" x14ac:dyDescent="0.3"/>
    <row r="7" spans="1:20" ht="16.2" customHeight="1" thickBot="1" x14ac:dyDescent="0.3">
      <c r="B7" s="131" t="s">
        <v>21</v>
      </c>
      <c r="C7" s="132"/>
      <c r="D7" s="133"/>
      <c r="H7" s="138" t="s">
        <v>11</v>
      </c>
      <c r="I7" s="139"/>
      <c r="J7" s="139"/>
      <c r="K7" s="140"/>
      <c r="L7" s="36"/>
      <c r="N7" s="131" t="s">
        <v>15</v>
      </c>
      <c r="O7" s="132"/>
      <c r="P7" s="132"/>
      <c r="Q7" s="132"/>
      <c r="R7" s="132"/>
      <c r="S7" s="133"/>
    </row>
    <row r="8" spans="1:20" ht="16.2" customHeight="1" thickBot="1" x14ac:dyDescent="0.3">
      <c r="B8" s="46" t="s">
        <v>17</v>
      </c>
      <c r="C8" s="44" t="s">
        <v>18</v>
      </c>
      <c r="D8" s="47" t="s">
        <v>19</v>
      </c>
      <c r="H8" s="27" t="s">
        <v>0</v>
      </c>
      <c r="I8" s="28" t="str">
        <f>B8</f>
        <v>A</v>
      </c>
      <c r="J8" s="28" t="str">
        <f>C8</f>
        <v>B</v>
      </c>
      <c r="K8" s="31" t="str">
        <f>D8</f>
        <v>C</v>
      </c>
      <c r="L8" s="37"/>
      <c r="N8" s="141" t="s">
        <v>14</v>
      </c>
      <c r="O8" s="142"/>
      <c r="P8" s="143" t="s">
        <v>12</v>
      </c>
      <c r="Q8" s="143"/>
      <c r="R8" s="144" t="s">
        <v>13</v>
      </c>
      <c r="S8" s="145"/>
    </row>
    <row r="9" spans="1:20" ht="16.2" customHeight="1" thickBot="1" x14ac:dyDescent="0.3">
      <c r="H9" s="32">
        <f>S2</f>
        <v>0</v>
      </c>
      <c r="I9" s="33">
        <f>S2/3+S3</f>
        <v>0</v>
      </c>
      <c r="J9" s="33">
        <f>S2/3+S4</f>
        <v>0</v>
      </c>
      <c r="K9" s="34">
        <f>S5+S2/3</f>
        <v>0</v>
      </c>
      <c r="L9" s="38"/>
    </row>
    <row r="10" spans="1:20" ht="23.4" customHeight="1" thickBot="1" x14ac:dyDescent="0.3">
      <c r="B10" s="146" t="s">
        <v>27</v>
      </c>
      <c r="C10" s="147"/>
      <c r="D10" s="148"/>
      <c r="F10" s="129" t="s">
        <v>5</v>
      </c>
      <c r="G10" s="130"/>
      <c r="H10" s="135"/>
      <c r="I10" s="136"/>
      <c r="J10" s="136"/>
      <c r="K10" s="137"/>
      <c r="L10" s="39"/>
      <c r="N10" s="131" t="s">
        <v>25</v>
      </c>
      <c r="O10" s="132"/>
      <c r="P10" s="132"/>
      <c r="Q10" s="132"/>
      <c r="R10" s="132"/>
      <c r="S10" s="133"/>
    </row>
    <row r="11" spans="1:20" ht="16.2" customHeight="1" x14ac:dyDescent="0.25">
      <c r="F11" s="45" t="str">
        <f>B8</f>
        <v>A</v>
      </c>
      <c r="G11" s="35" t="s">
        <v>16</v>
      </c>
      <c r="H11" s="134"/>
      <c r="I11" s="58"/>
      <c r="J11" s="59"/>
      <c r="K11" s="60"/>
      <c r="L11" s="40"/>
      <c r="N11" s="80"/>
      <c r="O11" s="81"/>
      <c r="P11" s="81"/>
      <c r="Q11" s="81"/>
      <c r="R11" s="81"/>
      <c r="S11" s="82"/>
    </row>
    <row r="12" spans="1:20" ht="16.2" customHeight="1" x14ac:dyDescent="0.25">
      <c r="F12" s="45" t="str">
        <f>C8</f>
        <v>B</v>
      </c>
      <c r="G12" s="35" t="s">
        <v>16</v>
      </c>
      <c r="H12" s="134"/>
      <c r="I12" s="61"/>
      <c r="J12" s="62"/>
      <c r="K12" s="63"/>
      <c r="L12" s="40"/>
      <c r="N12" s="83"/>
      <c r="O12" s="84"/>
      <c r="P12" s="84"/>
      <c r="Q12" s="84"/>
      <c r="R12" s="84"/>
      <c r="S12" s="85"/>
    </row>
    <row r="13" spans="1:20" ht="16.2" customHeight="1" thickBot="1" x14ac:dyDescent="0.3">
      <c r="F13" s="45" t="str">
        <f>D8</f>
        <v>C</v>
      </c>
      <c r="G13" s="35" t="s">
        <v>16</v>
      </c>
      <c r="H13" s="134"/>
      <c r="I13" s="64"/>
      <c r="J13" s="65"/>
      <c r="K13" s="66"/>
      <c r="L13" s="40"/>
      <c r="N13" s="86"/>
      <c r="O13" s="87"/>
      <c r="P13" s="87"/>
      <c r="Q13" s="87"/>
      <c r="R13" s="87"/>
      <c r="S13" s="88"/>
    </row>
    <row r="14" spans="1:20" ht="16.2" customHeight="1" thickBot="1" x14ac:dyDescent="0.3">
      <c r="F14" s="149" t="s">
        <v>10</v>
      </c>
      <c r="G14" s="150"/>
      <c r="H14" s="151"/>
      <c r="I14" s="29">
        <f>I9-(I12-I13)+(J11+K11)</f>
        <v>0</v>
      </c>
      <c r="J14" s="29">
        <f>J9-(J11+J13)+(I12+K12)</f>
        <v>0</v>
      </c>
      <c r="K14" s="30">
        <f>K9-(K12+K11)+(I13+J13)</f>
        <v>0</v>
      </c>
      <c r="L14" s="41"/>
      <c r="N14" s="79"/>
      <c r="O14" s="79"/>
      <c r="P14" s="79"/>
      <c r="Q14" s="79"/>
      <c r="R14" s="91" t="s">
        <v>26</v>
      </c>
      <c r="S14" s="92">
        <f>SUM(N11:S13)/2</f>
        <v>0</v>
      </c>
    </row>
    <row r="15" spans="1:20" ht="3.6" customHeight="1" x14ac:dyDescent="0.25">
      <c r="I15" s="94">
        <f>I14</f>
        <v>0</v>
      </c>
      <c r="J15" s="94">
        <f t="shared" ref="J15:K15" si="1">J14</f>
        <v>0</v>
      </c>
      <c r="K15" s="94">
        <f t="shared" si="1"/>
        <v>0</v>
      </c>
      <c r="P15" s="78"/>
      <c r="Q15" s="78"/>
    </row>
  </sheetData>
  <sheetProtection algorithmName="SHA-512" hashValue="moWwmOjP5v6N1CdR3u7MC4kISXdzMBFuiS/mme75Ag4HgX+qlKDMgoZ2UmSZw2tcsIVUnvdl5MdecnlANDvG8Q==" saltValue="Or5YowOfkhnl82dxYAWDGA==" spinCount="100000" sheet="1" objects="1" scenarios="1"/>
  <protectedRanges>
    <protectedRange sqref="N11:S13" name="双人计算区域"/>
    <protectedRange sqref="B2:R5" name="购物金额输入"/>
    <protectedRange sqref="H11:K13" name="欠款输入"/>
    <protectedRange sqref="B8:D8" name="用户名称输入"/>
  </protectedRanges>
  <mergeCells count="13">
    <mergeCell ref="F14:H14"/>
    <mergeCell ref="A1:S1"/>
    <mergeCell ref="F10:G10"/>
    <mergeCell ref="B7:D7"/>
    <mergeCell ref="H11:H13"/>
    <mergeCell ref="H10:K10"/>
    <mergeCell ref="H7:K7"/>
    <mergeCell ref="N7:S7"/>
    <mergeCell ref="N8:O8"/>
    <mergeCell ref="P8:Q8"/>
    <mergeCell ref="R8:S8"/>
    <mergeCell ref="N10:S10"/>
    <mergeCell ref="B10:D10"/>
  </mergeCells>
  <phoneticPr fontId="2" type="noConversion"/>
  <conditionalFormatting sqref="I15:K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date" allowBlank="1" showInputMessage="1" showErrorMessage="1" errorTitle="弱智！" error="你他妈是觉得你自己可以欠你自己钱吗？" sqref="J12 K13" xr:uid="{F2EC2959-DAB5-4509-BD83-DF9B056F1162}">
      <formula1>36526</formula1>
      <formula2>36527</formula2>
    </dataValidation>
    <dataValidation type="date" allowBlank="1" showInputMessage="1" showErrorMessage="1" errorTitle="弱智！" error="你他妈自己觉得你可以在这里输入吗？" sqref="L10 H10:H11" xr:uid="{3F71652C-C338-4D1D-B07B-579CB9D1C15B}">
      <formula1>36526</formula1>
      <formula2>36527</formula2>
    </dataValidation>
    <dataValidation type="date" allowBlank="1" showInputMessage="1" showErrorMessage="1" errorTitle="弱智！" error="你他妈是觉得你自己可以欠你自己钱吗？" sqref="I11" xr:uid="{629BEAA6-5672-48D6-BC63-DA0D3AD878FE}">
      <formula1>36161</formula1>
      <formula2>36162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F78C-EB51-4C46-A1BA-B48302920CFE}">
  <dimension ref="A1:T22"/>
  <sheetViews>
    <sheetView zoomScale="145" zoomScaleNormal="145" workbookViewId="0">
      <selection activeCell="H9" sqref="H9:M9"/>
    </sheetView>
  </sheetViews>
  <sheetFormatPr defaultRowHeight="13.8" x14ac:dyDescent="0.25"/>
  <sheetData>
    <row r="1" spans="1:20" ht="28.2" customHeight="1" thickBot="1" x14ac:dyDescent="0.3">
      <c r="A1" s="152" t="s">
        <v>29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4"/>
    </row>
    <row r="2" spans="1:20" ht="16.8" customHeight="1" thickBot="1" x14ac:dyDescent="0.3">
      <c r="A2" s="155" t="s">
        <v>0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58">
        <f>SUM(B2:R2)</f>
        <v>0</v>
      </c>
      <c r="T2" s="161">
        <f>S2/5</f>
        <v>0</v>
      </c>
    </row>
    <row r="3" spans="1:20" ht="16.8" customHeight="1" x14ac:dyDescent="0.25">
      <c r="A3" s="156" t="s">
        <v>1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59">
        <f t="shared" ref="S3:S7" si="0">SUM(B3:R3)</f>
        <v>0</v>
      </c>
    </row>
    <row r="4" spans="1:20" ht="16.8" customHeight="1" x14ac:dyDescent="0.25">
      <c r="A4" s="156" t="s">
        <v>2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59">
        <f t="shared" si="0"/>
        <v>0</v>
      </c>
    </row>
    <row r="5" spans="1:20" ht="16.8" customHeight="1" x14ac:dyDescent="0.25">
      <c r="A5" s="156" t="s">
        <v>3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59">
        <f>SUM(B5:R5)</f>
        <v>0</v>
      </c>
    </row>
    <row r="6" spans="1:20" ht="16.8" customHeight="1" thickBot="1" x14ac:dyDescent="0.3">
      <c r="A6" s="157" t="s">
        <v>4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59">
        <f>SUM(B6:R6)</f>
        <v>0</v>
      </c>
    </row>
    <row r="7" spans="1:20" ht="16.8" customHeight="1" thickBot="1" x14ac:dyDescent="0.3">
      <c r="A7" s="157" t="s">
        <v>30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160">
        <f t="shared" si="0"/>
        <v>0</v>
      </c>
    </row>
    <row r="8" spans="1:20" ht="10.8" customHeight="1" thickBot="1" x14ac:dyDescent="0.3"/>
    <row r="9" spans="1:20" ht="16.8" customHeight="1" thickBot="1" x14ac:dyDescent="0.3">
      <c r="B9" s="170" t="s">
        <v>22</v>
      </c>
      <c r="C9" s="171"/>
      <c r="D9" s="172" t="s">
        <v>24</v>
      </c>
      <c r="H9" s="185" t="s">
        <v>11</v>
      </c>
      <c r="I9" s="186"/>
      <c r="J9" s="186"/>
      <c r="K9" s="186"/>
      <c r="L9" s="186"/>
      <c r="M9" s="187"/>
      <c r="N9" s="176" t="s">
        <v>15</v>
      </c>
      <c r="O9" s="183"/>
      <c r="P9" s="183"/>
      <c r="Q9" s="183"/>
      <c r="R9" s="183"/>
      <c r="S9" s="184"/>
    </row>
    <row r="10" spans="1:20" ht="16.8" customHeight="1" thickBot="1" x14ac:dyDescent="0.3">
      <c r="B10" s="222">
        <f>ver.tri!S2</f>
        <v>0</v>
      </c>
      <c r="C10" s="223"/>
      <c r="D10" s="169">
        <f>B10/3</f>
        <v>0</v>
      </c>
      <c r="H10" s="156" t="s">
        <v>0</v>
      </c>
      <c r="I10" s="190" t="s">
        <v>1</v>
      </c>
      <c r="J10" s="190" t="s">
        <v>2</v>
      </c>
      <c r="K10" s="190" t="s">
        <v>3</v>
      </c>
      <c r="L10" s="190" t="s">
        <v>4</v>
      </c>
      <c r="M10" s="191" t="s">
        <v>30</v>
      </c>
      <c r="N10" s="195" t="s">
        <v>14</v>
      </c>
      <c r="O10" s="196"/>
      <c r="P10" s="162" t="s">
        <v>12</v>
      </c>
      <c r="Q10" s="162"/>
      <c r="R10" s="188" t="s">
        <v>13</v>
      </c>
      <c r="S10" s="189"/>
    </row>
    <row r="11" spans="1:20" ht="16.8" customHeight="1" thickBot="1" x14ac:dyDescent="0.3">
      <c r="B11" s="170" t="s">
        <v>34</v>
      </c>
      <c r="C11" s="171"/>
      <c r="D11" s="172" t="s">
        <v>24</v>
      </c>
      <c r="H11" s="192">
        <f>S2</f>
        <v>0</v>
      </c>
      <c r="I11" s="193">
        <f>S2/4+S3</f>
        <v>0</v>
      </c>
      <c r="J11" s="193">
        <f>S2/4+S4</f>
        <v>0</v>
      </c>
      <c r="K11" s="193">
        <f>S5+S2/4</f>
        <v>0</v>
      </c>
      <c r="L11" s="193">
        <f>S2/4+S6</f>
        <v>0</v>
      </c>
      <c r="M11" s="194">
        <f>T2/4+S7</f>
        <v>0</v>
      </c>
    </row>
    <row r="12" spans="1:20" ht="23.4" customHeight="1" thickBot="1" x14ac:dyDescent="0.3">
      <c r="B12" s="222">
        <f>ver.qua!S2</f>
        <v>0</v>
      </c>
      <c r="C12" s="223"/>
      <c r="D12" s="169">
        <f>B12/4</f>
        <v>0</v>
      </c>
      <c r="F12" s="178" t="s">
        <v>5</v>
      </c>
      <c r="G12" s="179"/>
      <c r="H12" s="180"/>
      <c r="I12" s="181"/>
      <c r="J12" s="181"/>
      <c r="K12" s="181"/>
      <c r="L12" s="181"/>
      <c r="M12" s="182"/>
      <c r="N12" s="176" t="s">
        <v>25</v>
      </c>
      <c r="O12" s="183"/>
      <c r="P12" s="183"/>
      <c r="Q12" s="183"/>
      <c r="R12" s="183"/>
      <c r="S12" s="184"/>
    </row>
    <row r="13" spans="1:20" ht="16.8" customHeight="1" thickBot="1" x14ac:dyDescent="0.3">
      <c r="F13" s="163" t="s">
        <v>6</v>
      </c>
      <c r="G13" s="164"/>
      <c r="H13" s="201"/>
      <c r="I13" s="202"/>
      <c r="J13" s="203"/>
      <c r="K13" s="203"/>
      <c r="L13" s="203"/>
      <c r="M13" s="204"/>
      <c r="N13" s="211"/>
      <c r="O13" s="212"/>
      <c r="P13" s="212"/>
      <c r="Q13" s="212"/>
      <c r="R13" s="212"/>
      <c r="S13" s="213"/>
    </row>
    <row r="14" spans="1:20" ht="16.8" customHeight="1" thickBot="1" x14ac:dyDescent="0.3">
      <c r="B14" s="173" t="s">
        <v>27</v>
      </c>
      <c r="C14" s="230"/>
      <c r="D14" s="174"/>
      <c r="F14" s="165" t="s">
        <v>7</v>
      </c>
      <c r="G14" s="166"/>
      <c r="H14" s="205"/>
      <c r="I14" s="206"/>
      <c r="J14" s="207"/>
      <c r="K14" s="206"/>
      <c r="L14" s="206"/>
      <c r="M14" s="208"/>
      <c r="N14" s="214"/>
      <c r="O14" s="215"/>
      <c r="P14" s="215"/>
      <c r="Q14" s="215"/>
      <c r="R14" s="215"/>
      <c r="S14" s="216"/>
    </row>
    <row r="15" spans="1:20" ht="16.8" customHeight="1" x14ac:dyDescent="0.25">
      <c r="F15" s="165" t="s">
        <v>8</v>
      </c>
      <c r="G15" s="166"/>
      <c r="H15" s="205"/>
      <c r="I15" s="206"/>
      <c r="J15" s="206"/>
      <c r="K15" s="207"/>
      <c r="L15" s="206"/>
      <c r="M15" s="208"/>
      <c r="N15" s="214"/>
      <c r="O15" s="215"/>
      <c r="P15" s="215"/>
      <c r="Q15" s="215"/>
      <c r="R15" s="215"/>
      <c r="S15" s="216"/>
    </row>
    <row r="16" spans="1:20" ht="16.8" customHeight="1" thickBot="1" x14ac:dyDescent="0.3">
      <c r="F16" s="165" t="s">
        <v>9</v>
      </c>
      <c r="G16" s="166"/>
      <c r="H16" s="205"/>
      <c r="I16" s="206"/>
      <c r="J16" s="206"/>
      <c r="K16" s="206"/>
      <c r="L16" s="207"/>
      <c r="M16" s="208"/>
      <c r="N16" s="217"/>
      <c r="O16" s="218"/>
      <c r="P16" s="218"/>
      <c r="Q16" s="218"/>
      <c r="R16" s="218"/>
      <c r="S16" s="219"/>
    </row>
    <row r="17" spans="6:19" ht="16.8" customHeight="1" thickBot="1" x14ac:dyDescent="0.3">
      <c r="F17" s="167" t="s">
        <v>31</v>
      </c>
      <c r="G17" s="168"/>
      <c r="H17" s="209"/>
      <c r="I17" s="210"/>
      <c r="J17" s="210"/>
      <c r="K17" s="210"/>
      <c r="L17" s="210"/>
      <c r="M17" s="207"/>
      <c r="P17" s="78"/>
      <c r="Q17" s="78"/>
      <c r="R17" s="220" t="s">
        <v>26</v>
      </c>
      <c r="S17" s="221">
        <f>SUM(N13:S16)/2</f>
        <v>0</v>
      </c>
    </row>
    <row r="18" spans="6:19" ht="16.8" customHeight="1" thickBot="1" x14ac:dyDescent="0.3">
      <c r="F18" s="170" t="s">
        <v>10</v>
      </c>
      <c r="G18" s="175"/>
      <c r="H18" s="176"/>
      <c r="I18" s="177">
        <f>I11-SUM(I14:I17)+SUM(J13:M13)</f>
        <v>0</v>
      </c>
      <c r="J18" s="177">
        <f>J11-(J13+J15+J16+J17)+(I14+K14+L14+M14+M14)</f>
        <v>0</v>
      </c>
      <c r="K18" s="177">
        <f>K11-(K13+K14+K16+K17)+(I15+J15+L15+M15)</f>
        <v>0</v>
      </c>
      <c r="L18" s="177">
        <f>L11-(L13+L14+L15+L17)+(I16+J16+K16+M16)</f>
        <v>0</v>
      </c>
      <c r="M18" s="177">
        <f>M11-SUM(M13:M16)+SUM(I17:L17)</f>
        <v>0</v>
      </c>
      <c r="P18" s="78"/>
      <c r="Q18" s="78"/>
      <c r="R18" s="224"/>
      <c r="S18" s="225"/>
    </row>
    <row r="19" spans="6:19" ht="3.6" customHeight="1" x14ac:dyDescent="0.25">
      <c r="I19" s="94">
        <f>I18</f>
        <v>0</v>
      </c>
      <c r="J19" s="94">
        <f>J18</f>
        <v>0</v>
      </c>
      <c r="K19" s="94">
        <f>K18</f>
        <v>0</v>
      </c>
      <c r="L19" s="94">
        <f>L18</f>
        <v>0</v>
      </c>
      <c r="M19" s="94">
        <f>M18</f>
        <v>0</v>
      </c>
      <c r="R19" s="226"/>
      <c r="S19" s="226"/>
    </row>
    <row r="20" spans="6:19" x14ac:dyDescent="0.25">
      <c r="I20" s="93"/>
      <c r="R20" s="227"/>
      <c r="S20" s="227"/>
    </row>
    <row r="21" spans="6:19" x14ac:dyDescent="0.25">
      <c r="R21" s="228"/>
      <c r="S21" s="228"/>
    </row>
    <row r="22" spans="6:19" x14ac:dyDescent="0.25">
      <c r="R22" s="229"/>
      <c r="S22" s="229"/>
    </row>
  </sheetData>
  <sheetProtection algorithmName="SHA-512" hashValue="L+NmDsEVwbJ+NlbxRG3TvGtUyaDVkdjWlhTrX59ENDmuuIhHwv1PKw7PV7P3qbamIhUrH564VrXu+ae9fQ3/jA==" saltValue="BCRs2zORpz5sV/kdErocNA==" spinCount="100000" sheet="1" objects="1" scenarios="1"/>
  <protectedRanges>
    <protectedRange sqref="I13:M17" name="欠款输入"/>
    <protectedRange sqref="B2:R7" name="购物金额输入"/>
    <protectedRange sqref="N13:S16" name="双人计算区域"/>
  </protectedRanges>
  <mergeCells count="21">
    <mergeCell ref="B14:D14"/>
    <mergeCell ref="B10:C10"/>
    <mergeCell ref="B12:C12"/>
    <mergeCell ref="B11:C11"/>
    <mergeCell ref="F18:H18"/>
    <mergeCell ref="F17:G17"/>
    <mergeCell ref="H13:H17"/>
    <mergeCell ref="F12:G12"/>
    <mergeCell ref="N12:S12"/>
    <mergeCell ref="F13:G13"/>
    <mergeCell ref="F14:G14"/>
    <mergeCell ref="F15:G15"/>
    <mergeCell ref="F16:G16"/>
    <mergeCell ref="H12:M12"/>
    <mergeCell ref="A1:S1"/>
    <mergeCell ref="N9:S9"/>
    <mergeCell ref="N10:O10"/>
    <mergeCell ref="P10:Q10"/>
    <mergeCell ref="R10:S10"/>
    <mergeCell ref="H9:M9"/>
    <mergeCell ref="B9:C9"/>
  </mergeCells>
  <phoneticPr fontId="2" type="noConversion"/>
  <conditionalFormatting sqref="I19:M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date" allowBlank="1" showInputMessage="1" showErrorMessage="1" errorTitle="弱智！" error="你他妈是觉得你自己可以欠你自己钱吗？" sqref="L16 J14 K15 M17" xr:uid="{8C53E61E-DD4D-44A0-AA0C-C5AAA0A76027}">
      <formula1>36526</formula1>
      <formula2>36527</formula2>
    </dataValidation>
    <dataValidation type="date" allowBlank="1" showInputMessage="1" showErrorMessage="1" errorTitle="弱智！" error="你他妈自己觉得你可以在这里输入吗？" sqref="H12:H13" xr:uid="{459F5084-1859-49CF-8F96-3E793E5695EC}">
      <formula1>36526</formula1>
      <formula2>36527</formula2>
    </dataValidation>
    <dataValidation type="date" allowBlank="1" showInputMessage="1" showErrorMessage="1" errorTitle="弱智！" error="你他妈是觉得你自己可以欠你自己钱吗？" sqref="I13" xr:uid="{3493C4D8-0B8A-4F26-8D02-EBE39089BAA1}">
      <formula1>36161</formula1>
      <formula2>36162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ver.qua</vt:lpstr>
      <vt:lpstr>ver.tri</vt:lpstr>
      <vt:lpstr>ver.pen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Zhao</dc:creator>
  <cp:lastModifiedBy>Yifei Zhao</cp:lastModifiedBy>
  <dcterms:created xsi:type="dcterms:W3CDTF">2015-06-05T18:19:34Z</dcterms:created>
  <dcterms:modified xsi:type="dcterms:W3CDTF">2024-02-29T08:25:24Z</dcterms:modified>
</cp:coreProperties>
</file>