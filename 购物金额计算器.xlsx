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6298\Desktop\"/>
    </mc:Choice>
  </mc:AlternateContent>
  <xr:revisionPtr revIDLastSave="0" documentId="13_ncr:1_{2B665DB0-8993-4367-824E-96F3060EEC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er.qua" sheetId="1" r:id="rId1"/>
    <sheet name="ver.tri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" l="1"/>
  <c r="K15" i="2"/>
  <c r="I15" i="2"/>
  <c r="S14" i="2"/>
  <c r="S16" i="1"/>
  <c r="F11" i="2" l="1"/>
  <c r="F13" i="2"/>
  <c r="F12" i="2"/>
  <c r="K8" i="2"/>
  <c r="J8" i="2"/>
  <c r="I8" i="2"/>
  <c r="A5" i="2"/>
  <c r="A4" i="2"/>
  <c r="A3" i="2"/>
  <c r="S3" i="2"/>
  <c r="S5" i="2"/>
  <c r="S4" i="2"/>
  <c r="S2" i="2"/>
  <c r="S3" i="1"/>
  <c r="S4" i="1"/>
  <c r="S5" i="1"/>
  <c r="S6" i="1"/>
  <c r="S2" i="1"/>
  <c r="T2" i="1" s="1"/>
  <c r="I9" i="2" l="1"/>
  <c r="I14" i="2" s="1"/>
  <c r="K10" i="1"/>
  <c r="K16" i="1" s="1"/>
  <c r="K17" i="1" s="1"/>
  <c r="C9" i="1"/>
  <c r="E9" i="1" s="1"/>
  <c r="K9" i="2"/>
  <c r="K14" i="2" s="1"/>
  <c r="J9" i="2"/>
  <c r="J14" i="2" s="1"/>
  <c r="H9" i="2"/>
  <c r="T2" i="2"/>
  <c r="I10" i="1"/>
  <c r="I16" i="1" s="1"/>
  <c r="I17" i="1" s="1"/>
  <c r="J10" i="1"/>
  <c r="J16" i="1" s="1"/>
  <c r="J17" i="1" s="1"/>
  <c r="L10" i="1"/>
  <c r="L16" i="1" s="1"/>
  <c r="L17" i="1" s="1"/>
  <c r="H10" i="1"/>
</calcChain>
</file>

<file path=xl/sharedStrings.xml><?xml version="1.0" encoding="utf-8"?>
<sst xmlns="http://schemas.openxmlformats.org/spreadsheetml/2006/main" count="50" uniqueCount="31">
  <si>
    <t>共同部分</t>
    <phoneticPr fontId="2" type="noConversion"/>
  </si>
  <si>
    <t>马斯辰</t>
    <phoneticPr fontId="2" type="noConversion"/>
  </si>
  <si>
    <t>宁航宇</t>
    <phoneticPr fontId="2" type="noConversion"/>
  </si>
  <si>
    <t>王朴琦</t>
    <phoneticPr fontId="2" type="noConversion"/>
  </si>
  <si>
    <t>赵逸飞</t>
    <phoneticPr fontId="2" type="noConversion"/>
  </si>
  <si>
    <t>欠  款  计  算</t>
    <phoneticPr fontId="2" type="noConversion"/>
  </si>
  <si>
    <t>马  斯  辰  欠</t>
    <phoneticPr fontId="2" type="noConversion"/>
  </si>
  <si>
    <t>宁  航  宇  欠</t>
    <phoneticPr fontId="2" type="noConversion"/>
  </si>
  <si>
    <t>王  朴  琦  欠</t>
    <phoneticPr fontId="2" type="noConversion"/>
  </si>
  <si>
    <t>赵  逸  飞  欠</t>
    <phoneticPr fontId="2" type="noConversion"/>
  </si>
  <si>
    <t>最  终  金  额</t>
    <phoneticPr fontId="2" type="noConversion"/>
  </si>
  <si>
    <t>合          计</t>
    <phoneticPr fontId="2" type="noConversion"/>
  </si>
  <si>
    <t>显示分步金额</t>
    <phoneticPr fontId="2" type="noConversion"/>
  </si>
  <si>
    <t>显示最终金额</t>
    <phoneticPr fontId="2" type="noConversion"/>
  </si>
  <si>
    <t>输入金额数量</t>
    <phoneticPr fontId="2" type="noConversion"/>
  </si>
  <si>
    <t>图          例</t>
    <phoneticPr fontId="2" type="noConversion"/>
  </si>
  <si>
    <t xml:space="preserve">   欠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</si>
  <si>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</si>
  <si>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</si>
  <si>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</si>
  <si>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购          物          金          额          计          算          器        Q U A</t>
    <phoneticPr fontId="2" type="noConversion"/>
  </si>
  <si>
    <t>用  户  名  称  输  入</t>
    <phoneticPr fontId="2" type="noConversion"/>
  </si>
  <si>
    <t>ver.tri 共 同 部 分</t>
    <phoneticPr fontId="2" type="noConversion"/>
  </si>
  <si>
    <t>购          物          金          额          计          算          器          T R I</t>
    <phoneticPr fontId="2" type="noConversion"/>
  </si>
  <si>
    <t>三人每人</t>
    <phoneticPr fontId="2" type="noConversion"/>
  </si>
  <si>
    <t>双  人  计  算  器</t>
    <phoneticPr fontId="2" type="noConversion"/>
  </si>
  <si>
    <t>每人分别</t>
    <phoneticPr fontId="2" type="noConversion"/>
  </si>
  <si>
    <t>关闭时选择不保存</t>
    <phoneticPr fontId="2" type="noConversion"/>
  </si>
  <si>
    <t>购物金额计算器 ver1.3</t>
    <phoneticPr fontId="2" type="noConversion"/>
  </si>
  <si>
    <t>Pobilished 07/10/2023</t>
    <phoneticPr fontId="2" type="noConversion"/>
  </si>
  <si>
    <t xml:space="preserve">Yifei Zhao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</si>
</sst>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&quot;$&quot;#,##0.00_);[Red]\(&quot;$&quot;#,##0.00\)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i/>
      <sz val="6"/>
      <color rgb="FF7F7F7F"/>
      <name val="等线"/>
      <family val="3"/>
      <charset val="134"/>
      <scheme val="minor"/>
    </font>
    <font>
      <sz val="1"/>
      <color theme="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54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176" fontId="5" fillId="3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/>
    </xf>
    <xf numFmtId="176" fontId="5" fillId="4" borderId="5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5" fillId="3" borderId="7" xfId="1" applyNumberFormat="1" applyFont="1" applyFill="1" applyBorder="1" applyAlignment="1">
      <alignment horizontal="center" vertical="center"/>
    </xf>
    <xf numFmtId="176" fontId="5" fillId="4" borderId="8" xfId="1" applyNumberFormat="1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176" fontId="5" fillId="4" borderId="3" xfId="1" applyNumberFormat="1" applyFont="1" applyFill="1" applyBorder="1" applyAlignment="1">
      <alignment horizontal="center" vertical="center"/>
    </xf>
    <xf numFmtId="176" fontId="6" fillId="4" borderId="30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76" fontId="5" fillId="6" borderId="3" xfId="1" applyNumberFormat="1" applyFont="1" applyFill="1" applyBorder="1" applyAlignment="1">
      <alignment horizontal="center" vertical="center"/>
    </xf>
    <xf numFmtId="176" fontId="5" fillId="6" borderId="1" xfId="1" applyNumberFormat="1" applyFont="1" applyFill="1" applyBorder="1" applyAlignment="1">
      <alignment horizontal="center" vertical="center"/>
    </xf>
    <xf numFmtId="176" fontId="5" fillId="6" borderId="7" xfId="1" applyNumberFormat="1" applyFont="1" applyFill="1" applyBorder="1" applyAlignment="1">
      <alignment horizontal="center" vertical="center"/>
    </xf>
    <xf numFmtId="176" fontId="5" fillId="7" borderId="5" xfId="1" applyNumberFormat="1" applyFont="1" applyFill="1" applyBorder="1" applyAlignment="1">
      <alignment horizontal="center" vertical="center"/>
    </xf>
    <xf numFmtId="176" fontId="5" fillId="7" borderId="8" xfId="1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4" fillId="5" borderId="7" xfId="0" applyNumberFormat="1" applyFont="1" applyFill="1" applyBorder="1" applyAlignment="1">
      <alignment horizontal="center" vertical="center"/>
    </xf>
    <xf numFmtId="176" fontId="4" fillId="5" borderId="8" xfId="0" applyNumberFormat="1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176" fontId="5" fillId="7" borderId="6" xfId="0" applyNumberFormat="1" applyFont="1" applyFill="1" applyBorder="1" applyAlignment="1">
      <alignment horizontal="center" vertical="center"/>
    </xf>
    <xf numFmtId="176" fontId="5" fillId="7" borderId="7" xfId="0" applyNumberFormat="1" applyFont="1" applyFill="1" applyBorder="1" applyAlignment="1">
      <alignment horizontal="center" vertical="center"/>
    </xf>
    <xf numFmtId="176" fontId="5" fillId="7" borderId="8" xfId="0" applyNumberFormat="1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7" borderId="40" xfId="1" applyNumberFormat="1" applyFont="1" applyFill="1" applyBorder="1" applyAlignment="1">
      <alignment horizontal="center" vertical="center"/>
    </xf>
    <xf numFmtId="176" fontId="6" fillId="7" borderId="24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right" vertical="center"/>
    </xf>
    <xf numFmtId="0" fontId="6" fillId="6" borderId="25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176" fontId="5" fillId="3" borderId="15" xfId="0" applyNumberFormat="1" applyFont="1" applyFill="1" applyBorder="1" applyAlignment="1">
      <alignment horizontal="center" vertical="center"/>
    </xf>
    <xf numFmtId="176" fontId="5" fillId="3" borderId="12" xfId="0" applyNumberFormat="1" applyFont="1" applyFill="1" applyBorder="1" applyAlignment="1">
      <alignment horizontal="center" vertical="center"/>
    </xf>
    <xf numFmtId="176" fontId="5" fillId="3" borderId="20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7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9" xfId="0" applyNumberFormat="1" applyFont="1" applyFill="1" applyBorder="1" applyAlignment="1">
      <alignment horizontal="center" vertical="center"/>
    </xf>
    <xf numFmtId="176" fontId="5" fillId="3" borderId="18" xfId="0" applyNumberFormat="1" applyFont="1" applyFill="1" applyBorder="1" applyAlignment="1">
      <alignment horizontal="center" vertical="center"/>
    </xf>
    <xf numFmtId="176" fontId="5" fillId="6" borderId="15" xfId="0" applyNumberFormat="1" applyFont="1" applyFill="1" applyBorder="1" applyAlignment="1">
      <alignment horizontal="center" vertical="center"/>
    </xf>
    <xf numFmtId="176" fontId="5" fillId="6" borderId="12" xfId="0" applyNumberFormat="1" applyFont="1" applyFill="1" applyBorder="1" applyAlignment="1">
      <alignment horizontal="center" vertical="center"/>
    </xf>
    <xf numFmtId="176" fontId="5" fillId="6" borderId="20" xfId="0" applyNumberFormat="1" applyFont="1" applyFill="1" applyBorder="1" applyAlignment="1">
      <alignment horizontal="center" vertical="center"/>
    </xf>
    <xf numFmtId="176" fontId="5" fillId="6" borderId="11" xfId="0" applyNumberFormat="1" applyFont="1" applyFill="1" applyBorder="1" applyAlignment="1">
      <alignment horizontal="center" vertical="center"/>
    </xf>
    <xf numFmtId="176" fontId="5" fillId="6" borderId="17" xfId="0" applyNumberFormat="1" applyFont="1" applyFill="1" applyBorder="1" applyAlignment="1">
      <alignment horizontal="center" vertical="center"/>
    </xf>
    <xf numFmtId="176" fontId="5" fillId="6" borderId="5" xfId="0" applyNumberFormat="1" applyFont="1" applyFill="1" applyBorder="1" applyAlignment="1">
      <alignment horizontal="center" vertical="center"/>
    </xf>
    <xf numFmtId="176" fontId="5" fillId="6" borderId="13" xfId="0" applyNumberFormat="1" applyFont="1" applyFill="1" applyBorder="1" applyAlignment="1">
      <alignment horizontal="center" vertical="center"/>
    </xf>
    <xf numFmtId="176" fontId="5" fillId="6" borderId="9" xfId="0" applyNumberFormat="1" applyFont="1" applyFill="1" applyBorder="1" applyAlignment="1">
      <alignment horizontal="center" vertical="center"/>
    </xf>
    <xf numFmtId="176" fontId="5" fillId="6" borderId="41" xfId="0" applyNumberFormat="1" applyFont="1" applyFill="1" applyBorder="1" applyAlignment="1">
      <alignment horizontal="center" vertical="center"/>
    </xf>
    <xf numFmtId="176" fontId="4" fillId="4" borderId="44" xfId="0" applyNumberFormat="1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176" fontId="5" fillId="3" borderId="16" xfId="0" applyNumberFormat="1" applyFont="1" applyFill="1" applyBorder="1" applyAlignment="1">
      <alignment horizontal="center" vertical="center"/>
    </xf>
    <xf numFmtId="176" fontId="5" fillId="3" borderId="15" xfId="0" applyNumberFormat="1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76" fontId="4" fillId="4" borderId="42" xfId="0" applyNumberFormat="1" applyFont="1" applyFill="1" applyBorder="1" applyAlignment="1">
      <alignment horizontal="center" vertical="center"/>
    </xf>
    <xf numFmtId="176" fontId="4" fillId="4" borderId="43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176" fontId="5" fillId="6" borderId="34" xfId="0" applyNumberFormat="1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176" fontId="0" fillId="3" borderId="31" xfId="0" applyNumberFormat="1" applyFill="1" applyBorder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176" fontId="0" fillId="3" borderId="20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176" fontId="0" fillId="6" borderId="31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20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176" fontId="0" fillId="6" borderId="6" xfId="0" applyNumberFormat="1" applyFill="1" applyBorder="1" applyAlignment="1">
      <alignment horizontal="center" vertical="center"/>
    </xf>
    <xf numFmtId="176" fontId="0" fillId="6" borderId="7" xfId="0" applyNumberFormat="1" applyFill="1" applyBorder="1" applyAlignment="1">
      <alignment horizontal="center" vertical="center"/>
    </xf>
    <xf numFmtId="176" fontId="0" fillId="6" borderId="8" xfId="0" applyNumberFormat="1" applyFill="1" applyBorder="1" applyAlignment="1">
      <alignment horizontal="center" vertical="center"/>
    </xf>
    <xf numFmtId="0" fontId="3" fillId="2" borderId="28" xfId="2" applyFont="1" applyFill="1" applyBorder="1" applyAlignment="1">
      <alignment horizontal="center" vertical="center"/>
    </xf>
    <xf numFmtId="0" fontId="3" fillId="2" borderId="30" xfId="2" applyFont="1" applyFill="1" applyBorder="1" applyAlignment="1">
      <alignment horizontal="center" vertical="center"/>
    </xf>
    <xf numFmtId="0" fontId="9" fillId="5" borderId="28" xfId="2" applyFont="1" applyFill="1" applyBorder="1" applyAlignment="1">
      <alignment horizontal="center" vertical="center"/>
    </xf>
    <xf numFmtId="0" fontId="9" fillId="5" borderId="29" xfId="2" applyFont="1" applyFill="1" applyBorder="1" applyAlignment="1">
      <alignment horizontal="center" vertical="center"/>
    </xf>
    <xf numFmtId="0" fontId="9" fillId="5" borderId="30" xfId="2" applyFont="1" applyFill="1" applyBorder="1" applyAlignment="1">
      <alignment horizontal="center" vertical="center"/>
    </xf>
    <xf numFmtId="0" fontId="10" fillId="8" borderId="0" xfId="3" applyFont="1" applyFill="1" applyAlignment="1">
      <alignment horizontal="right"/>
    </xf>
    <xf numFmtId="0" fontId="10" fillId="8" borderId="0" xfId="3" applyFont="1" applyFill="1" applyAlignment="1">
      <alignment horizontal="right" vertical="center"/>
    </xf>
    <xf numFmtId="0" fontId="10" fillId="8" borderId="0" xfId="3" applyFont="1" applyFill="1" applyAlignment="1">
      <alignment horizontal="right" vertical="top"/>
    </xf>
    <xf numFmtId="0" fontId="4" fillId="2" borderId="46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176" fontId="0" fillId="4" borderId="24" xfId="1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176" fontId="0" fillId="7" borderId="24" xfId="1" applyNumberFormat="1" applyFont="1" applyFill="1" applyBorder="1" applyAlignment="1">
      <alignment horizontal="center" vertical="center"/>
    </xf>
    <xf numFmtId="176" fontId="0" fillId="0" borderId="0" xfId="0" applyNumberFormat="1"/>
    <xf numFmtId="176" fontId="11" fillId="0" borderId="0" xfId="0" applyNumberFormat="1" applyFont="1"/>
  </cellXfs>
  <cellStyles count="4">
    <cellStyle name="常规" xfId="0" builtinId="0"/>
    <cellStyle name="解释性文本" xfId="3" builtinId="53"/>
    <cellStyle name="警告文本" xfId="2" builtinId="11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5255</xdr:colOff>
      <xdr:row>0</xdr:row>
      <xdr:rowOff>10511</xdr:rowOff>
    </xdr:from>
    <xdr:to>
      <xdr:col>0</xdr:col>
      <xdr:colOff>362607</xdr:colOff>
      <xdr:row>1</xdr:row>
      <xdr:rowOff>10511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BC59E20-7645-27F1-C04F-4FFEA9C04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10511"/>
          <a:ext cx="357352" cy="357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5255</xdr:colOff>
      <xdr:row>0</xdr:row>
      <xdr:rowOff>10510</xdr:rowOff>
    </xdr:from>
    <xdr:to>
      <xdr:col>0</xdr:col>
      <xdr:colOff>362607</xdr:colOff>
      <xdr:row>1</xdr:row>
      <xdr:rowOff>10510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B38F38-D2A3-4715-BF90-890D1CC12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10510"/>
          <a:ext cx="357352" cy="3573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6298\Desktop\22.xlsm" TargetMode="External"/><Relationship Id="rId1" Type="http://schemas.openxmlformats.org/officeDocument/2006/relationships/externalLinkPath" Target="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.qua"/>
      <sheetName val="ver.tri"/>
    </sheetNames>
    <definedNames>
      <definedName name="msc"/>
      <definedName name="nhy"/>
      <definedName name="wpq"/>
      <definedName name="zyf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0"/>
  <sheetViews>
    <sheetView tabSelected="1" zoomScale="145" zoomScaleNormal="145" workbookViewId="0">
      <selection activeCell="P19" sqref="P19"/>
    </sheetView>
  </sheetViews>
  <sheetFormatPr defaultRowHeight="13.8" x14ac:dyDescent="0.25"/>
  <sheetData>
    <row r="1" spans="1:20" ht="28.2" customHeight="1" thickBot="1" x14ac:dyDescent="0.3">
      <c r="A1" s="69" t="s">
        <v>20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20" ht="16.8" customHeight="1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>
        <f>SUM(B2:R2)</f>
        <v>0</v>
      </c>
      <c r="T2" s="18">
        <f>S2/4</f>
        <v>0</v>
      </c>
    </row>
    <row r="3" spans="1:20" ht="16.8" customHeigh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>
        <f t="shared" ref="S3:S6" si="0">SUM(B3:R3)</f>
        <v>0</v>
      </c>
    </row>
    <row r="4" spans="1:20" ht="16.8" customHeight="1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>
        <f t="shared" si="0"/>
        <v>0</v>
      </c>
    </row>
    <row r="5" spans="1:20" ht="16.8" customHeight="1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>
        <f t="shared" si="0"/>
        <v>0</v>
      </c>
    </row>
    <row r="6" spans="1:20" ht="16.8" customHeight="1" thickBot="1" x14ac:dyDescent="0.3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>
        <f t="shared" si="0"/>
        <v>0</v>
      </c>
    </row>
    <row r="7" spans="1:20" ht="10.8" customHeight="1" thickBot="1" x14ac:dyDescent="0.3"/>
    <row r="8" spans="1:20" ht="16.8" customHeight="1" thickBot="1" x14ac:dyDescent="0.3">
      <c r="C8" s="92" t="s">
        <v>22</v>
      </c>
      <c r="D8" s="93"/>
      <c r="E8" s="68" t="s">
        <v>24</v>
      </c>
      <c r="H8" s="72" t="s">
        <v>11</v>
      </c>
      <c r="I8" s="73"/>
      <c r="J8" s="73"/>
      <c r="K8" s="73"/>
      <c r="L8" s="74"/>
      <c r="N8" s="72" t="s">
        <v>15</v>
      </c>
      <c r="O8" s="73"/>
      <c r="P8" s="73"/>
      <c r="Q8" s="73"/>
      <c r="R8" s="73"/>
      <c r="S8" s="74"/>
    </row>
    <row r="9" spans="1:20" ht="16.8" customHeight="1" thickBot="1" x14ac:dyDescent="0.3">
      <c r="C9" s="90">
        <f>ver.tri!S2</f>
        <v>0</v>
      </c>
      <c r="D9" s="91"/>
      <c r="E9" s="67">
        <f>C9/3</f>
        <v>0</v>
      </c>
      <c r="H9" s="14" t="s">
        <v>0</v>
      </c>
      <c r="I9" s="15" t="s">
        <v>1</v>
      </c>
      <c r="J9" s="15" t="s">
        <v>2</v>
      </c>
      <c r="K9" s="15" t="s">
        <v>3</v>
      </c>
      <c r="L9" s="16" t="s">
        <v>4</v>
      </c>
      <c r="N9" s="79" t="s">
        <v>14</v>
      </c>
      <c r="O9" s="80"/>
      <c r="P9" s="81" t="s">
        <v>12</v>
      </c>
      <c r="Q9" s="81"/>
      <c r="R9" s="82" t="s">
        <v>13</v>
      </c>
      <c r="S9" s="83"/>
    </row>
    <row r="10" spans="1:20" ht="16.8" customHeight="1" thickBot="1" x14ac:dyDescent="0.3">
      <c r="H10" s="11">
        <f>S2</f>
        <v>0</v>
      </c>
      <c r="I10" s="12">
        <f>S2/4+S3</f>
        <v>0</v>
      </c>
      <c r="J10" s="12">
        <f>S2/4+S4</f>
        <v>0</v>
      </c>
      <c r="K10" s="12">
        <f>S5+S2/4</f>
        <v>0</v>
      </c>
      <c r="L10" s="13">
        <f>S2/4+S6</f>
        <v>0</v>
      </c>
    </row>
    <row r="11" spans="1:20" ht="23.4" customHeight="1" thickBot="1" x14ac:dyDescent="0.3">
      <c r="C11" s="134" t="s">
        <v>27</v>
      </c>
      <c r="D11" s="135"/>
      <c r="F11" s="72" t="s">
        <v>5</v>
      </c>
      <c r="G11" s="75"/>
      <c r="H11" s="76"/>
      <c r="I11" s="77"/>
      <c r="J11" s="77"/>
      <c r="K11" s="77"/>
      <c r="L11" s="78"/>
      <c r="N11" s="72" t="s">
        <v>25</v>
      </c>
      <c r="O11" s="73"/>
      <c r="P11" s="73"/>
      <c r="Q11" s="73"/>
      <c r="R11" s="73"/>
      <c r="S11" s="74"/>
    </row>
    <row r="12" spans="1:20" ht="16.8" customHeight="1" x14ac:dyDescent="0.25">
      <c r="F12" s="86" t="s">
        <v>6</v>
      </c>
      <c r="G12" s="87"/>
      <c r="H12" s="84"/>
      <c r="I12" s="48"/>
      <c r="J12" s="49"/>
      <c r="K12" s="49"/>
      <c r="L12" s="50"/>
      <c r="N12" s="114"/>
      <c r="O12" s="115"/>
      <c r="P12" s="115"/>
      <c r="Q12" s="115"/>
      <c r="R12" s="115"/>
      <c r="S12" s="116"/>
    </row>
    <row r="13" spans="1:20" ht="16.8" customHeight="1" x14ac:dyDescent="0.25">
      <c r="F13" s="88" t="s">
        <v>7</v>
      </c>
      <c r="G13" s="89"/>
      <c r="H13" s="84"/>
      <c r="I13" s="51"/>
      <c r="J13" s="52"/>
      <c r="K13" s="53"/>
      <c r="L13" s="54"/>
      <c r="N13" s="117"/>
      <c r="O13" s="118"/>
      <c r="P13" s="118"/>
      <c r="Q13" s="118"/>
      <c r="R13" s="118"/>
      <c r="S13" s="119"/>
    </row>
    <row r="14" spans="1:20" ht="16.8" customHeight="1" x14ac:dyDescent="0.25">
      <c r="F14" s="88" t="s">
        <v>8</v>
      </c>
      <c r="G14" s="89"/>
      <c r="H14" s="84"/>
      <c r="I14" s="51"/>
      <c r="J14" s="53"/>
      <c r="K14" s="52"/>
      <c r="L14" s="54"/>
      <c r="N14" s="117"/>
      <c r="O14" s="118"/>
      <c r="P14" s="118"/>
      <c r="Q14" s="118"/>
      <c r="R14" s="118"/>
      <c r="S14" s="119"/>
    </row>
    <row r="15" spans="1:20" ht="16.8" customHeight="1" thickBot="1" x14ac:dyDescent="0.3">
      <c r="F15" s="88" t="s">
        <v>9</v>
      </c>
      <c r="G15" s="89"/>
      <c r="H15" s="85"/>
      <c r="I15" s="55"/>
      <c r="J15" s="56"/>
      <c r="K15" s="56"/>
      <c r="L15" s="57"/>
      <c r="N15" s="120"/>
      <c r="O15" s="121"/>
      <c r="P15" s="121"/>
      <c r="Q15" s="121"/>
      <c r="R15" s="121"/>
      <c r="S15" s="122"/>
    </row>
    <row r="16" spans="1:20" ht="16.8" customHeight="1" thickBot="1" x14ac:dyDescent="0.3">
      <c r="F16" s="142" t="s">
        <v>10</v>
      </c>
      <c r="G16" s="143"/>
      <c r="H16" s="144"/>
      <c r="I16" s="9">
        <f>I10-(I13+I14+I15)+(J12+K12+L12)</f>
        <v>0</v>
      </c>
      <c r="J16" s="9">
        <f>J10-(J12+J14+J15)+(I13+K13+L13)</f>
        <v>0</v>
      </c>
      <c r="K16" s="9">
        <f>K10-(K13+K12+K15)+(I14+J14+L14)</f>
        <v>0</v>
      </c>
      <c r="L16" s="10">
        <f>L10-(L13+L14+L12)+(I15+J15+K15)</f>
        <v>0</v>
      </c>
      <c r="P16" s="123"/>
      <c r="Q16" s="123"/>
      <c r="R16" s="148" t="s">
        <v>26</v>
      </c>
      <c r="S16" s="149">
        <f>SUM(N12:S15)/2</f>
        <v>0</v>
      </c>
    </row>
    <row r="17" spans="9:19" ht="3.6" customHeight="1" x14ac:dyDescent="0.25">
      <c r="I17" s="153">
        <f>I16</f>
        <v>0</v>
      </c>
      <c r="J17" s="153">
        <f t="shared" ref="J17:L17" si="1">J16</f>
        <v>0</v>
      </c>
      <c r="K17" s="153">
        <f t="shared" si="1"/>
        <v>0</v>
      </c>
      <c r="L17" s="153">
        <f t="shared" si="1"/>
        <v>0</v>
      </c>
    </row>
    <row r="18" spans="9:19" x14ac:dyDescent="0.25">
      <c r="I18" s="152"/>
      <c r="R18" s="139" t="s">
        <v>28</v>
      </c>
      <c r="S18" s="139"/>
    </row>
    <row r="19" spans="9:19" x14ac:dyDescent="0.25">
      <c r="R19" s="140" t="s">
        <v>29</v>
      </c>
      <c r="S19" s="140"/>
    </row>
    <row r="20" spans="9:19" x14ac:dyDescent="0.25">
      <c r="R20" s="141" t="s">
        <v>30</v>
      </c>
      <c r="S20" s="141"/>
    </row>
  </sheetData>
  <sheetProtection algorithmName="SHA-512" hashValue="PAGcKZdywOQ/74NC6KygALJKrG88INht9aWiM8Ca1YA5NglIDWPMT3SFQDIRsqnrNrzu3HEwDiHE/XhmbdHhTA==" saltValue="6RL+AgExeVDubb53eXfjZA==" spinCount="100000" sheet="1" objects="1" scenarios="1"/>
  <protectedRanges>
    <protectedRange sqref="N12:S15" name="双人计算区域"/>
    <protectedRange sqref="B2:R6" name="购物金额输入"/>
    <protectedRange sqref="H12:L15" name="欠款输入"/>
  </protectedRanges>
  <mergeCells count="21">
    <mergeCell ref="R18:S18"/>
    <mergeCell ref="R19:S19"/>
    <mergeCell ref="R20:S20"/>
    <mergeCell ref="F16:H16"/>
    <mergeCell ref="N11:S11"/>
    <mergeCell ref="C11:D11"/>
    <mergeCell ref="A1:S1"/>
    <mergeCell ref="H8:L8"/>
    <mergeCell ref="F11:G11"/>
    <mergeCell ref="H11:L11"/>
    <mergeCell ref="N9:O9"/>
    <mergeCell ref="P9:Q9"/>
    <mergeCell ref="R9:S9"/>
    <mergeCell ref="N8:S8"/>
    <mergeCell ref="H12:H15"/>
    <mergeCell ref="F12:G12"/>
    <mergeCell ref="F13:G13"/>
    <mergeCell ref="F14:G14"/>
    <mergeCell ref="F15:G15"/>
    <mergeCell ref="C9:D9"/>
    <mergeCell ref="C8:D8"/>
  </mergeCells>
  <phoneticPr fontId="2" type="noConversion"/>
  <conditionalFormatting sqref="I17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date" allowBlank="1" showInputMessage="1" showErrorMessage="1" errorTitle="弱智！" error="你他妈是觉得你自己可以欠你自己钱吗？" sqref="I12" xr:uid="{58D7DE34-EDAB-480F-89C7-0D9F82D8D061}">
      <formula1>36161</formula1>
      <formula2>36162</formula2>
    </dataValidation>
    <dataValidation type="date" allowBlank="1" showInputMessage="1" showErrorMessage="1" errorTitle="弱智！" error="你他妈自己觉得你可以在这里输入吗？" sqref="H12:H15 H11:L11" xr:uid="{B4668D64-42B5-43E0-AB84-6278C9DA5EF9}">
      <formula1>36526</formula1>
      <formula2>36527</formula2>
    </dataValidation>
    <dataValidation type="date" allowBlank="1" showInputMessage="1" showErrorMessage="1" errorTitle="弱智！" error="你他妈是觉得你自己可以欠你自己钱吗？" sqref="L15 J13 K14" xr:uid="{5D6AB52C-2E31-4D65-9763-C592B99D64A2}">
      <formula1>36526</formula1>
      <formula2>36527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223F-7849-4A3E-9337-AE41BE57AA24}">
  <sheetPr codeName="Sheet2"/>
  <dimension ref="A1:T15"/>
  <sheetViews>
    <sheetView zoomScale="145" zoomScaleNormal="145" workbookViewId="0">
      <selection activeCell="M19" sqref="M19"/>
    </sheetView>
  </sheetViews>
  <sheetFormatPr defaultRowHeight="13.8" x14ac:dyDescent="0.25"/>
  <sheetData>
    <row r="1" spans="1:20" ht="28.2" customHeight="1" thickBot="1" x14ac:dyDescent="0.3">
      <c r="A1" s="94" t="s">
        <v>23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</row>
    <row r="2" spans="1:20" ht="16.8" customHeight="1" thickBot="1" x14ac:dyDescent="0.3">
      <c r="A2" s="19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42">
        <f>SUM(B2:R2)</f>
        <v>0</v>
      </c>
      <c r="T2" s="43">
        <f>S2/3</f>
        <v>0</v>
      </c>
    </row>
    <row r="3" spans="1:20" ht="16.8" customHeight="1" x14ac:dyDescent="0.25">
      <c r="A3" s="20" t="str">
        <f>B8</f>
        <v>A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5">
        <f t="shared" ref="S3:S5" si="0">SUM(B3:R3)</f>
        <v>0</v>
      </c>
    </row>
    <row r="4" spans="1:20" ht="16.8" customHeight="1" x14ac:dyDescent="0.25">
      <c r="A4" s="20" t="str">
        <f>C8</f>
        <v>B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5">
        <f t="shared" si="0"/>
        <v>0</v>
      </c>
    </row>
    <row r="5" spans="1:20" ht="16.8" customHeight="1" thickBot="1" x14ac:dyDescent="0.3">
      <c r="A5" s="21" t="str">
        <f>D8</f>
        <v>C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6">
        <f t="shared" si="0"/>
        <v>0</v>
      </c>
    </row>
    <row r="6" spans="1:20" ht="10.8" customHeight="1" thickBot="1" x14ac:dyDescent="0.3"/>
    <row r="7" spans="1:20" ht="16.2" customHeight="1" thickBot="1" x14ac:dyDescent="0.3">
      <c r="B7" s="99" t="s">
        <v>21</v>
      </c>
      <c r="C7" s="100"/>
      <c r="D7" s="101"/>
      <c r="H7" s="106" t="s">
        <v>11</v>
      </c>
      <c r="I7" s="107"/>
      <c r="J7" s="107"/>
      <c r="K7" s="108"/>
      <c r="L7" s="36"/>
      <c r="N7" s="99" t="s">
        <v>15</v>
      </c>
      <c r="O7" s="100"/>
      <c r="P7" s="100"/>
      <c r="Q7" s="100"/>
      <c r="R7" s="100"/>
      <c r="S7" s="101"/>
    </row>
    <row r="8" spans="1:20" ht="16.2" customHeight="1" thickBot="1" x14ac:dyDescent="0.3">
      <c r="B8" s="46" t="s">
        <v>17</v>
      </c>
      <c r="C8" s="44" t="s">
        <v>18</v>
      </c>
      <c r="D8" s="47" t="s">
        <v>19</v>
      </c>
      <c r="H8" s="27" t="s">
        <v>0</v>
      </c>
      <c r="I8" s="28" t="str">
        <f>B8</f>
        <v>A</v>
      </c>
      <c r="J8" s="28" t="str">
        <f>C8</f>
        <v>B</v>
      </c>
      <c r="K8" s="31" t="str">
        <f>D8</f>
        <v>C</v>
      </c>
      <c r="L8" s="37"/>
      <c r="N8" s="109" t="s">
        <v>14</v>
      </c>
      <c r="O8" s="110"/>
      <c r="P8" s="111" t="s">
        <v>12</v>
      </c>
      <c r="Q8" s="111"/>
      <c r="R8" s="112" t="s">
        <v>13</v>
      </c>
      <c r="S8" s="113"/>
    </row>
    <row r="9" spans="1:20" ht="16.2" customHeight="1" thickBot="1" x14ac:dyDescent="0.3">
      <c r="H9" s="32">
        <f>S2</f>
        <v>0</v>
      </c>
      <c r="I9" s="33">
        <f>S2/3+S3</f>
        <v>0</v>
      </c>
      <c r="J9" s="33">
        <f>S2/3+S4</f>
        <v>0</v>
      </c>
      <c r="K9" s="34">
        <f>S5+S2/3</f>
        <v>0</v>
      </c>
      <c r="L9" s="38"/>
    </row>
    <row r="10" spans="1:20" ht="23.4" customHeight="1" thickBot="1" x14ac:dyDescent="0.3">
      <c r="B10" s="136" t="s">
        <v>27</v>
      </c>
      <c r="C10" s="137"/>
      <c r="D10" s="138"/>
      <c r="F10" s="97" t="s">
        <v>5</v>
      </c>
      <c r="G10" s="98"/>
      <c r="H10" s="103"/>
      <c r="I10" s="104"/>
      <c r="J10" s="104"/>
      <c r="K10" s="105"/>
      <c r="L10" s="39"/>
      <c r="N10" s="99" t="s">
        <v>25</v>
      </c>
      <c r="O10" s="100"/>
      <c r="P10" s="100"/>
      <c r="Q10" s="100"/>
      <c r="R10" s="100"/>
      <c r="S10" s="101"/>
    </row>
    <row r="11" spans="1:20" ht="16.2" customHeight="1" x14ac:dyDescent="0.25">
      <c r="F11" s="45" t="str">
        <f>B8</f>
        <v>A</v>
      </c>
      <c r="G11" s="35" t="s">
        <v>16</v>
      </c>
      <c r="H11" s="102"/>
      <c r="I11" s="58"/>
      <c r="J11" s="59"/>
      <c r="K11" s="60"/>
      <c r="L11" s="40"/>
      <c r="N11" s="125"/>
      <c r="O11" s="126"/>
      <c r="P11" s="126"/>
      <c r="Q11" s="126"/>
      <c r="R11" s="126"/>
      <c r="S11" s="127"/>
    </row>
    <row r="12" spans="1:20" ht="16.2" customHeight="1" x14ac:dyDescent="0.25">
      <c r="F12" s="45" t="str">
        <f>C8</f>
        <v>B</v>
      </c>
      <c r="G12" s="35" t="s">
        <v>16</v>
      </c>
      <c r="H12" s="102"/>
      <c r="I12" s="61"/>
      <c r="J12" s="62"/>
      <c r="K12" s="63"/>
      <c r="L12" s="40"/>
      <c r="N12" s="128"/>
      <c r="O12" s="129"/>
      <c r="P12" s="129"/>
      <c r="Q12" s="129"/>
      <c r="R12" s="129"/>
      <c r="S12" s="130"/>
    </row>
    <row r="13" spans="1:20" ht="16.2" customHeight="1" thickBot="1" x14ac:dyDescent="0.3">
      <c r="F13" s="45" t="str">
        <f>D8</f>
        <v>C</v>
      </c>
      <c r="G13" s="35" t="s">
        <v>16</v>
      </c>
      <c r="H13" s="102"/>
      <c r="I13" s="64"/>
      <c r="J13" s="65"/>
      <c r="K13" s="66"/>
      <c r="L13" s="40"/>
      <c r="N13" s="131"/>
      <c r="O13" s="132"/>
      <c r="P13" s="132"/>
      <c r="Q13" s="132"/>
      <c r="R13" s="132"/>
      <c r="S13" s="133"/>
    </row>
    <row r="14" spans="1:20" ht="16.2" customHeight="1" thickBot="1" x14ac:dyDescent="0.3">
      <c r="F14" s="145" t="s">
        <v>10</v>
      </c>
      <c r="G14" s="146"/>
      <c r="H14" s="147"/>
      <c r="I14" s="29">
        <f>I9-(I12-I13)+(J11+K11)</f>
        <v>0</v>
      </c>
      <c r="J14" s="29">
        <f>J9-(J11+J13)+(I12+K12)</f>
        <v>0</v>
      </c>
      <c r="K14" s="30">
        <f>K9-(K12+K11)+(I13+J13)</f>
        <v>0</v>
      </c>
      <c r="L14" s="41"/>
      <c r="N14" s="124"/>
      <c r="O14" s="124"/>
      <c r="P14" s="124"/>
      <c r="Q14" s="124"/>
      <c r="R14" s="150" t="s">
        <v>26</v>
      </c>
      <c r="S14" s="151">
        <f>SUM(N11:S13)/2</f>
        <v>0</v>
      </c>
    </row>
    <row r="15" spans="1:20" ht="3.6" customHeight="1" x14ac:dyDescent="0.25">
      <c r="I15" s="153">
        <f>I14</f>
        <v>0</v>
      </c>
      <c r="J15" s="153">
        <f t="shared" ref="J15:K15" si="1">J14</f>
        <v>0</v>
      </c>
      <c r="K15" s="153">
        <f t="shared" si="1"/>
        <v>0</v>
      </c>
      <c r="P15" s="123"/>
      <c r="Q15" s="123"/>
    </row>
  </sheetData>
  <sheetProtection algorithmName="SHA-512" hashValue="rTraP7f5VcPXdmdm/qaLbD60gAZQ9f+mhGgLRsy2c4NFCpI4jromHi0x8Z5iNbMnc+YGy6qwm5A8nSvplsQM8A==" saltValue="hSOldBqA+fji2Q/R0flMHA==" spinCount="100000" sheet="1" objects="1" scenarios="1"/>
  <protectedRanges>
    <protectedRange sqref="N11:S13" name="双人计算区域"/>
    <protectedRange sqref="B2:R5" name="购物金额输入"/>
    <protectedRange sqref="H11:K13" name="欠款输入"/>
    <protectedRange sqref="B8:D8" name="用户名称输入"/>
  </protectedRanges>
  <mergeCells count="13">
    <mergeCell ref="A1:S1"/>
    <mergeCell ref="F10:G10"/>
    <mergeCell ref="B7:D7"/>
    <mergeCell ref="H11:H13"/>
    <mergeCell ref="H10:K10"/>
    <mergeCell ref="H7:K7"/>
    <mergeCell ref="N7:S7"/>
    <mergeCell ref="N8:O8"/>
    <mergeCell ref="P8:Q8"/>
    <mergeCell ref="R8:S8"/>
    <mergeCell ref="N10:S10"/>
    <mergeCell ref="B10:D10"/>
    <mergeCell ref="F14:H14"/>
  </mergeCells>
  <phoneticPr fontId="2" type="noConversion"/>
  <conditionalFormatting sqref="I15:K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date" allowBlank="1" showInputMessage="1" showErrorMessage="1" errorTitle="弱智！" error="你他妈是觉得你自己可以欠你自己钱吗？" sqref="J12 K13" xr:uid="{F2EC2959-DAB5-4509-BD83-DF9B056F1162}">
      <formula1>36526</formula1>
      <formula2>36527</formula2>
    </dataValidation>
    <dataValidation type="date" allowBlank="1" showInputMessage="1" showErrorMessage="1" errorTitle="弱智！" error="你他妈自己觉得你可以在这里输入吗？" sqref="L10 H10:H11" xr:uid="{3F71652C-C338-4D1D-B07B-579CB9D1C15B}">
      <formula1>36526</formula1>
      <formula2>36527</formula2>
    </dataValidation>
    <dataValidation type="date" allowBlank="1" showInputMessage="1" showErrorMessage="1" errorTitle="弱智！" error="你他妈是觉得你自己可以欠你自己钱吗？" sqref="I11" xr:uid="{629BEAA6-5672-48D6-BC63-DA0D3AD878FE}">
      <formula1>36161</formula1>
      <formula2>36162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ver.qua</vt:lpstr>
      <vt:lpstr>ver.tri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Zhao</dc:creator>
  <cp:lastModifiedBy>Yifei Zhao</cp:lastModifiedBy>
  <dcterms:created xsi:type="dcterms:W3CDTF">2015-06-05T18:19:34Z</dcterms:created>
  <dcterms:modified xsi:type="dcterms:W3CDTF">2023-10-07T07:02:25Z</dcterms:modified>
</cp:coreProperties>
</file>